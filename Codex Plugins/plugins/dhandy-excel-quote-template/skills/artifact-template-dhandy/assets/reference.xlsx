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okie\Documents\견적 업무\tmp\quote_template_line_fix\"/>
    </mc:Choice>
  </mc:AlternateContent>
  <xr:revisionPtr revIDLastSave="0" documentId="13_ncr:1_{CA202889-66E9-402E-82C3-A4F8E3D34D85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1. 견적서" sheetId="2" r:id="rId1"/>
    <sheet name="2. 상세견적" sheetId="1" r:id="rId2"/>
    <sheet name="3. 인건비 기준" sheetId="3" r:id="rId3"/>
  </sheets>
  <definedNames>
    <definedName name="_xlnm.Print_Area" localSheetId="0">'1. 견적서'!$A$1:$M$50</definedName>
    <definedName name="_xlnm.Print_Area" localSheetId="1">'2. 상세견적'!$A$1:$K$47</definedName>
    <definedName name="_xlnm.Print_Area" localSheetId="2">'3. 인건비 기준'!$A$1:$H$25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J31" i="1"/>
  <c r="J30" i="1"/>
  <c r="J29" i="1"/>
  <c r="I28" i="1"/>
  <c r="J28" i="1" s="1"/>
  <c r="J27" i="1" s="1"/>
  <c r="I26" i="1"/>
  <c r="J26" i="1" s="1"/>
  <c r="I25" i="1"/>
  <c r="J25" i="1" s="1"/>
  <c r="I23" i="1"/>
  <c r="J23" i="1" s="1"/>
  <c r="I22" i="1"/>
  <c r="J22" i="1" s="1"/>
  <c r="I20" i="1"/>
  <c r="J20" i="1" s="1"/>
  <c r="J18" i="1" s="1"/>
  <c r="I19" i="1"/>
  <c r="J19" i="1" s="1"/>
  <c r="J17" i="1"/>
  <c r="J16" i="1"/>
  <c r="J15" i="1"/>
  <c r="J14" i="1"/>
  <c r="J13" i="1"/>
  <c r="J12" i="1" s="1"/>
  <c r="J11" i="1" s="1"/>
  <c r="J33" i="2"/>
  <c r="J32" i="2"/>
  <c r="J24" i="1" l="1"/>
  <c r="J30" i="2"/>
  <c r="J29" i="2"/>
  <c r="J28" i="2"/>
  <c r="J26" i="2"/>
  <c r="J25" i="2"/>
  <c r="J21" i="1"/>
  <c r="P29" i="1" s="1"/>
  <c r="P30" i="1" l="1"/>
  <c r="J27" i="2"/>
  <c r="P31" i="1"/>
  <c r="P32" i="1"/>
  <c r="J33" i="1"/>
  <c r="J35" i="1" l="1"/>
  <c r="J36" i="1" s="1"/>
  <c r="J34" i="1" s="1"/>
  <c r="L24" i="1"/>
  <c r="Q19" i="1"/>
  <c r="Q22" i="1"/>
  <c r="L36" i="1"/>
  <c r="Q16" i="1"/>
  <c r="J37" i="1" l="1"/>
  <c r="J31" i="2"/>
  <c r="L9" i="1" l="1"/>
  <c r="J40" i="1"/>
  <c r="P12" i="1"/>
  <c r="L38" i="1"/>
  <c r="J41" i="1" l="1"/>
  <c r="G38" i="2" s="1"/>
  <c r="G35" i="2"/>
  <c r="O9" i="1"/>
</calcChain>
</file>

<file path=xl/sharedStrings.xml><?xml version="1.0" encoding="utf-8"?>
<sst xmlns="http://schemas.openxmlformats.org/spreadsheetml/2006/main" count="201" uniqueCount="150">
  <si>
    <t>OFFICIAL QUOTE</t>
  </si>
  <si>
    <t>EST-YYYYMMDD-001</t>
  </si>
  <si>
    <t>2026. 07. 22</t>
  </si>
  <si>
    <t>QUOTATION</t>
  </si>
  <si>
    <t>AUTOMATION SYSTEM DEVELOPMENT / COST PROPOSAL</t>
  </si>
  <si>
    <t>자동화 장비 개발</t>
  </si>
  <si>
    <t>CLIENT</t>
  </si>
  <si>
    <t>TO</t>
  </si>
  <si>
    <t>주식회사 예시고객</t>
  </si>
  <si>
    <t>구매 담당자님</t>
  </si>
  <si>
    <t>PROJECT SCOPE</t>
  </si>
  <si>
    <t>SUPPLIER INFORMATION</t>
  </si>
  <si>
    <t>설계 · 제작 · 제어 · 시운전 일괄 수행</t>
  </si>
  <si>
    <t>회사</t>
  </si>
  <si>
    <t>(주)단디메카 · 대표 이건희 · 사업자 503-87-01208</t>
  </si>
  <si>
    <t>본사</t>
  </si>
  <si>
    <t>경기도 의왕시 오전공업길 19 · 대현테크노월드 206호</t>
  </si>
  <si>
    <t>견적 담당</t>
  </si>
  <si>
    <t>국형주 이사 · 010-6662-9591 · hj.kook@dhandy.co.kr</t>
  </si>
  <si>
    <t>견적 금액 구성</t>
  </si>
  <si>
    <t>KRW / VAT EXCLUDED</t>
  </si>
  <si>
    <t>항목</t>
  </si>
  <si>
    <t>구성 기준</t>
  </si>
  <si>
    <t>금액</t>
  </si>
  <si>
    <t>설비 하드웨어 비용</t>
  </si>
  <si>
    <t>주요 모듈 · 프레임 · 제어 구매품</t>
  </si>
  <si>
    <t>제작 노무비</t>
  </si>
  <si>
    <t>가공 · 조립 · 배선 · 제작</t>
  </si>
  <si>
    <t>HW 개발 노무비</t>
  </si>
  <si>
    <t>기구 · 전장 설계 및 검토</t>
  </si>
  <si>
    <t>SW · 제어 개발 노무비</t>
  </si>
  <si>
    <t>PLC · HMI · 통합 제어</t>
  </si>
  <si>
    <t>시운전 · 검증 노무비</t>
  </si>
  <si>
    <t>FAT · 통합 검증 · 현장 대응</t>
  </si>
  <si>
    <t>기타 수행 비용</t>
  </si>
  <si>
    <t>운송 · 기술문서 · 시험 소모품</t>
  </si>
  <si>
    <t>일반관리비 및 기업이윤</t>
  </si>
  <si>
    <t>직접비 기준 관리비 · 이윤</t>
  </si>
  <si>
    <t>ADJ.</t>
  </si>
  <si>
    <t>견적 단위 조정</t>
  </si>
  <si>
    <t>1,000원 단위 끝단 조정</t>
  </si>
  <si>
    <t>NEG.</t>
  </si>
  <si>
    <t>협의 할인</t>
  </si>
  <si>
    <t>목표 예산 반영 협의 조정</t>
  </si>
  <si>
    <t>최종 견적 금액</t>
  </si>
  <si>
    <t>한글 금액</t>
  </si>
  <si>
    <t>일금 일억원정</t>
  </si>
  <si>
    <t>VAT 포함 금액</t>
  </si>
  <si>
    <t>결제 조건</t>
  </si>
  <si>
    <t>납기</t>
  </si>
  <si>
    <t>별도 협의</t>
  </si>
  <si>
    <t>발주 후 협의</t>
  </si>
  <si>
    <t>설치 장소</t>
  </si>
  <si>
    <t>견적 유효기간</t>
  </si>
  <si>
    <t>고객 지정 국내 사업장</t>
  </si>
  <si>
    <t>견적일로부터 10일</t>
  </si>
  <si>
    <t>제조사·모델 또는 상세 사양이 지정되지 않은 항목은 본 견적 기준과 동급 또는 동등 이상의 성능·품질을 충족하는 제품을 적용하며, 주요 대체품은 제작 전 협의합니다. 기능 및 구성 변경 시 납기와 견적 금액이 조정될 수 있습니다.</t>
  </si>
  <si>
    <t>Dhandy Mecha Co., Ltd.  |  www.dhandy.co.kr</t>
  </si>
  <si>
    <t>CONFIDENTIAL QUOTATION</t>
  </si>
  <si>
    <t>COST BREAKDOWN</t>
  </si>
  <si>
    <t>INTERNAL ONLY · 인쇄 제외</t>
  </si>
  <si>
    <t>상세 견적 내역</t>
  </si>
  <si>
    <t>견적 구성 분석</t>
  </si>
  <si>
    <t>산출 기준  |  구성품별 자재비 + M/D 노무비 + 수행 경비</t>
  </si>
  <si>
    <t>산출 금액</t>
  </si>
  <si>
    <t>최종 견적</t>
  </si>
  <si>
    <t>CODE</t>
  </si>
  <si>
    <t>품명</t>
  </si>
  <si>
    <t>규격 및 산출 근거</t>
  </si>
  <si>
    <t>단위</t>
  </si>
  <si>
    <t>수량</t>
  </si>
  <si>
    <t>단가</t>
  </si>
  <si>
    <t>하위 모듈 및 구성품별 산출</t>
  </si>
  <si>
    <t>기구 구성</t>
  </si>
  <si>
    <t>구성품 소계</t>
  </si>
  <si>
    <t>총 조정률</t>
  </si>
  <si>
    <t>Base Frame</t>
  </si>
  <si>
    <t>프로젝트 설계 기준 · 제조사 미지정 시 동급 이상</t>
  </si>
  <si>
    <t>식</t>
  </si>
  <si>
    <t>Safety Cover</t>
  </si>
  <si>
    <t>직접비 구성</t>
  </si>
  <si>
    <t>제어 구성</t>
  </si>
  <si>
    <t>PLC/I/O</t>
  </si>
  <si>
    <t>하드웨어</t>
  </si>
  <si>
    <t>Panel/Wiring</t>
  </si>
  <si>
    <t>하위 업무별 투입인원 x 작업일수</t>
  </si>
  <si>
    <t>기구 조립 (중급)</t>
  </si>
  <si>
    <t>중급 기술자 · 인건비 기준표 연동</t>
  </si>
  <si>
    <t>M/D</t>
  </si>
  <si>
    <t>인건비</t>
  </si>
  <si>
    <t>정밀 조정 (고급)</t>
  </si>
  <si>
    <t>고급 기술자 · 인건비 기준표 연동</t>
  </si>
  <si>
    <t>기구 설계 (중급)</t>
  </si>
  <si>
    <t>기타</t>
  </si>
  <si>
    <t>구조 검토 (고급)</t>
  </si>
  <si>
    <t>PLC/Motion (중급)</t>
  </si>
  <si>
    <t>통합 설계 (고급)</t>
  </si>
  <si>
    <t>인건비 세부 구성</t>
  </si>
  <si>
    <t>동작 튜닝 (중급)</t>
  </si>
  <si>
    <t>수행 항목별 실비 및 납품 산출물 기준</t>
  </si>
  <si>
    <t>제작</t>
  </si>
  <si>
    <t>운송/설치</t>
  </si>
  <si>
    <t>수행 범위 기준 · 실비성 경비</t>
  </si>
  <si>
    <t>HW 개발</t>
  </si>
  <si>
    <t>시험 소모품</t>
  </si>
  <si>
    <t>SW · 제어</t>
  </si>
  <si>
    <t>기술문서</t>
  </si>
  <si>
    <t>시운전 · 검증</t>
  </si>
  <si>
    <t>DIRECT</t>
  </si>
  <si>
    <t>직접비 소계</t>
  </si>
  <si>
    <t>직접비 기준 산출</t>
  </si>
  <si>
    <t>일반관리비 및 간접 제조비</t>
  </si>
  <si>
    <t>직접비 기준 5%</t>
  </si>
  <si>
    <t>%</t>
  </si>
  <si>
    <t>구성 요약</t>
  </si>
  <si>
    <t>기업이윤</t>
  </si>
  <si>
    <t>직접비 + 일반관리비 기준 7%</t>
  </si>
  <si>
    <t>TOTAL</t>
  </si>
  <si>
    <t>1,000원 단위 정합을 위한 끝단위 조정</t>
  </si>
  <si>
    <t>목표 예산을 반영한 협의 조정</t>
  </si>
  <si>
    <t>FINAL</t>
  </si>
  <si>
    <t>최종 공급가 (VAT 별도)</t>
  </si>
  <si>
    <t>내부 검토용 · 고객 출력 제외</t>
  </si>
  <si>
    <t>VAT</t>
  </si>
  <si>
    <t>LABOR RATE STANDARD</t>
  </si>
  <si>
    <t>인건비 기준표  |  견적 산출 공통 기준</t>
  </si>
  <si>
    <t>기준일</t>
  </si>
  <si>
    <t>KRW / M·D</t>
  </si>
  <si>
    <t>적용 범위</t>
  </si>
  <si>
    <t>자동화 장비 개발 견적</t>
  </si>
  <si>
    <t>등급</t>
  </si>
  <si>
    <t>기준 단가 (만원)</t>
  </si>
  <si>
    <t>기준 단가 (원/M·D)</t>
  </si>
  <si>
    <t>주요 적용 업무</t>
  </si>
  <si>
    <t>숙련 기준</t>
  </si>
  <si>
    <t>비고</t>
  </si>
  <si>
    <t>초급</t>
  </si>
  <si>
    <t>조립 지원 · 문서화 · 단순 시험</t>
  </si>
  <si>
    <t>지시 기반 실무 수행</t>
  </si>
  <si>
    <t>표준 단가</t>
  </si>
  <si>
    <t>중급</t>
  </si>
  <si>
    <t>기구/전장 설계 · PLC · 제작</t>
  </si>
  <si>
    <t>독립 업무 수행</t>
  </si>
  <si>
    <t>고급</t>
  </si>
  <si>
    <t>구조 설계 · 알고리즘 · 통합 검증</t>
  </si>
  <si>
    <t>아키텍처 및 책임 수행</t>
  </si>
  <si>
    <t>적용 원칙
· 인건비는 등급별 M/D와 본 기준 단가를 곱하여 산출합니다.
· 수행 난이도와 책임 범위에 따라 등급을 적용하며, 범위 변경 시 투입 M/D를 재산정합니다.
· 상세견적의 인건비 금액은 본 시트의 단가 셀을 직접 참조합니다.</t>
  </si>
  <si>
    <t>Dhandy Mecha Co., Ltd.  |  단단히, 제대로 만드는 자동화 솔루션</t>
  </si>
  <si>
    <t>INTERNAL RATE STANDARD</t>
  </si>
  <si>
    <t>CODE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</si>
</sst>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₩&quot;\ #,##0"/>
    <numFmt numFmtId="177" formatCode="0.0%"/>
    <numFmt numFmtId="178" formatCode="0&quot;만원&quot;"/>
    <numFmt numFmtId="179" formatCode="#,##0&quot;원&quot;"/>
    <numFmt numFmtId="180" formatCode="&quot;₩ &quot;#,##0;[Red]\-&quot;₩ &quot;#,##0"/>
  </numFmts>
  <fonts count="27" x14ac:knownFonts="1">
    <font>
      <sz val="11"/>
      <color theme="1"/>
      <name val="맑은 고딕"/>
    </font>
    <font>
      <sz val="9"/>
      <color rgb="FF666666"/>
      <name val="Pretendard"/>
      <charset val="129"/>
    </font>
    <font>
      <b/>
      <sz val="18"/>
      <color rgb="FF272727"/>
      <name val="Pretendard"/>
      <charset val="129"/>
    </font>
    <font>
      <b/>
      <sz val="9"/>
      <color rgb="FFF04A17"/>
      <name val="Pretendard"/>
      <charset val="129"/>
    </font>
    <font>
      <sz val="9"/>
      <color rgb="FF6B6B6B"/>
      <name val="Pretendard"/>
      <charset val="129"/>
    </font>
    <font>
      <b/>
      <sz val="9"/>
      <color rgb="FFFFFFFF"/>
      <name val="Pretendard"/>
      <charset val="129"/>
    </font>
    <font>
      <sz val="9"/>
      <color rgb="FF303030"/>
      <name val="Pretendard"/>
      <charset val="129"/>
    </font>
    <font>
      <sz val="9"/>
      <color rgb="FF333333"/>
      <name val="Pretendard"/>
      <charset val="129"/>
    </font>
    <font>
      <sz val="9"/>
      <color rgb="FFF04A00"/>
      <name val="Pretendard"/>
      <charset val="129"/>
    </font>
    <font>
      <sz val="9"/>
      <color rgb="FF262626"/>
      <name val="Pretendard"/>
      <charset val="129"/>
    </font>
    <font>
      <b/>
      <sz val="28"/>
      <color rgb="FF272727"/>
      <name val="Pretendard"/>
      <charset val="129"/>
    </font>
    <font>
      <b/>
      <sz val="9"/>
      <color rgb="FF6B6B6B"/>
      <name val="Pretendard"/>
      <charset val="129"/>
    </font>
    <font>
      <b/>
      <sz val="18"/>
      <color rgb="FF303030"/>
      <name val="Pretendard"/>
      <charset val="129"/>
    </font>
    <font>
      <b/>
      <sz val="10"/>
      <color rgb="FF303030"/>
      <name val="Pretendard"/>
      <charset val="129"/>
    </font>
    <font>
      <b/>
      <sz val="10"/>
      <color rgb="FFFFFFFF"/>
      <name val="Pretendard"/>
      <charset val="129"/>
    </font>
    <font>
      <b/>
      <sz val="18"/>
      <color rgb="FFF04A17"/>
      <name val="Pretendard"/>
      <charset val="129"/>
    </font>
    <font>
      <b/>
      <sz val="9"/>
      <color rgb="FF303030"/>
      <name val="Pretendard"/>
      <charset val="129"/>
    </font>
    <font>
      <sz val="8"/>
      <name val="돋움"/>
      <family val="3"/>
      <charset val="129"/>
    </font>
    <font>
      <sz val="9"/>
      <color theme="1"/>
      <name val="Pretendard"/>
      <charset val="129"/>
    </font>
    <font>
      <b/>
      <sz val="9"/>
      <color rgb="FF272727"/>
      <name val="Pretendard"/>
      <charset val="129"/>
    </font>
    <font>
      <sz val="10"/>
      <color rgb="FF303030"/>
      <name val="Pretendard"/>
      <charset val="129"/>
    </font>
    <font>
      <b/>
      <sz val="10"/>
      <color rgb="FFF44F14"/>
      <name val="Pretendard"/>
      <charset val="129"/>
    </font>
    <font>
      <sz val="9"/>
      <color rgb="FF7A7A7A"/>
      <name val="Pretendard"/>
      <charset val="129"/>
    </font>
    <font>
      <b/>
      <sz val="10"/>
      <color rgb="FFFF0000"/>
      <name val="Pretendard"/>
      <charset val="129"/>
    </font>
    <font>
      <sz val="10"/>
      <color rgb="FF6B6B6B"/>
      <name val="Pretendard"/>
      <charset val="129"/>
    </font>
    <font>
      <sz val="9"/>
      <color rgb="FF696969"/>
      <name val="Pretendard"/>
      <charset val="129"/>
    </font>
    <font>
      <b/>
      <sz val="10"/>
      <color rgb="FFFFFFFF"/>
      <name val="Pretendard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62626"/>
      </patternFill>
    </fill>
    <fill>
      <patternFill patternType="solid">
        <fgColor rgb="FFF04A00"/>
      </patternFill>
    </fill>
    <fill>
      <patternFill patternType="solid">
        <fgColor rgb="FFF3F4F5"/>
      </patternFill>
    </fill>
    <fill>
      <patternFill patternType="solid">
        <fgColor rgb="FF5A5A5A"/>
      </patternFill>
    </fill>
    <fill>
      <patternFill patternType="solid">
        <fgColor rgb="FFF04A17"/>
      </patternFill>
    </fill>
    <fill>
      <patternFill patternType="solid">
        <fgColor rgb="FFF3F3F3"/>
      </patternFill>
    </fill>
    <fill>
      <patternFill patternType="solid">
        <fgColor rgb="FF272727"/>
      </patternFill>
    </fill>
    <fill>
      <patternFill patternType="solid">
        <fgColor rgb="FFFAFAFA"/>
      </patternFill>
    </fill>
    <fill>
      <patternFill patternType="solid">
        <fgColor rgb="FFFFF5F0"/>
      </patternFill>
    </fill>
    <fill>
      <patternFill patternType="solid">
        <fgColor rgb="FFFDE8DE"/>
      </patternFill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F7F7F7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262626"/>
      </patternFill>
    </fill>
    <fill>
      <patternFill patternType="solid">
        <fgColor rgb="FFF7F7F7"/>
      </patternFill>
    </fill>
    <fill>
      <patternFill patternType="solid">
        <fgColor rgb="FFFFF5F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medium">
        <color rgb="FFF04A00"/>
      </bottom>
      <diagonal/>
    </border>
    <border>
      <left/>
      <right/>
      <top style="medium">
        <color rgb="FFF04A00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E7E7E7"/>
      </top>
      <bottom/>
      <diagonal/>
    </border>
    <border>
      <left/>
      <right/>
      <top style="thin">
        <color rgb="FFE7E7E7"/>
      </top>
      <bottom style="thin">
        <color rgb="FFE7E7E7"/>
      </bottom>
      <diagonal/>
    </border>
    <border>
      <left/>
      <right/>
      <top/>
      <bottom style="thin">
        <color rgb="FFE7E7E7"/>
      </bottom>
      <diagonal/>
    </border>
    <border>
      <left style="thin">
        <color rgb="FFD9D9D9"/>
      </left>
      <right/>
      <top style="medium">
        <color rgb="FFF04A00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medium">
        <color rgb="FFF04A00"/>
      </bottom>
      <diagonal/>
    </border>
    <border>
      <left style="thin">
        <color rgb="FFD9D9D9"/>
      </left>
      <right/>
      <top/>
      <bottom style="thin">
        <color rgb="FFE7E7E7"/>
      </bottom>
      <diagonal/>
    </border>
    <border>
      <left style="thin">
        <color rgb="FFD9D9D9"/>
      </left>
      <right/>
      <top style="thin">
        <color rgb="FFE7E7E7"/>
      </top>
      <bottom/>
      <diagonal/>
    </border>
    <border>
      <left style="thin">
        <color rgb="FFD9D9D9"/>
      </left>
      <right/>
      <top style="thin">
        <color rgb="FFE7E7E7"/>
      </top>
      <bottom style="thin">
        <color rgb="FFE7E7E7"/>
      </bottom>
      <diagonal/>
    </border>
    <border>
      <left/>
      <right style="thin">
        <color rgb="FFE7E7E7"/>
      </right>
      <top/>
      <bottom/>
      <diagonal/>
    </border>
    <border>
      <left style="thin">
        <color rgb="FFE7E7E7"/>
      </left>
      <right style="thin">
        <color rgb="FFE7E7E7"/>
      </right>
      <top/>
      <bottom/>
      <diagonal/>
    </border>
    <border>
      <left style="thin">
        <color rgb="FFE7E7E7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F04A17"/>
      </top>
      <bottom/>
      <diagonal/>
    </border>
    <border>
      <left/>
      <right/>
      <top/>
      <bottom style="medium">
        <color rgb="FFF04A17"/>
      </bottom>
      <diagonal/>
    </border>
    <border>
      <left/>
      <right/>
      <top style="thin">
        <color rgb="FFF7C7B2"/>
      </top>
      <bottom style="thin">
        <color rgb="FFF7C7B2"/>
      </bottom>
      <diagonal/>
    </border>
    <border>
      <left/>
      <right/>
      <top/>
      <bottom style="thin">
        <color rgb="FFCFCFCF"/>
      </bottom>
      <diagonal/>
    </border>
    <border>
      <left/>
      <right/>
      <top/>
      <bottom style="thin">
        <color rgb="FFE5E5E5"/>
      </bottom>
      <diagonal/>
    </border>
    <border>
      <left/>
      <right/>
      <top style="thin">
        <color rgb="FFF7C7B2"/>
      </top>
      <bottom style="thin">
        <color rgb="FFD9D9D9"/>
      </bottom>
      <diagonal/>
    </border>
    <border>
      <left/>
      <right/>
      <top style="thin">
        <color rgb="FFCFCFCF"/>
      </top>
      <bottom style="thin">
        <color rgb="FFD9D9D9"/>
      </bottom>
      <diagonal/>
    </border>
    <border>
      <left/>
      <right/>
      <top style="thin">
        <color rgb="FFF04A00"/>
      </top>
      <bottom/>
      <diagonal/>
    </border>
    <border>
      <left/>
      <right/>
      <top style="thin">
        <color rgb="FFF44F14"/>
      </top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F04A17"/>
      </bottom>
      <diagonal/>
    </border>
  </borders>
  <cellStyleXfs count="1">
    <xf numFmtId="0" fontId="0" fillId="0" borderId="0">
      <alignment vertical="center"/>
    </xf>
  </cellStyleXfs>
  <cellXfs count="217">
    <xf numFmtId="0" fontId="0" fillId="0" borderId="0" xfId="0">
      <alignment vertical="center"/>
    </xf>
    <xf numFmtId="0" fontId="7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7" fillId="2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6" fillId="0" borderId="28" xfId="0" applyFont="1" applyBorder="1" applyAlignment="1">
      <alignment horizontal="center" vertical="center"/>
    </xf>
    <xf numFmtId="38" fontId="6" fillId="0" borderId="28" xfId="0" applyNumberFormat="1" applyFont="1" applyBorder="1" applyAlignment="1">
      <alignment horizontal="center" vertical="center"/>
    </xf>
    <xf numFmtId="38" fontId="6" fillId="0" borderId="28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38" fontId="6" fillId="0" borderId="4" xfId="0" applyNumberFormat="1" applyFont="1" applyBorder="1" applyAlignment="1">
      <alignment horizontal="center" vertical="center"/>
    </xf>
    <xf numFmtId="38" fontId="6" fillId="0" borderId="4" xfId="0" applyNumberFormat="1" applyFont="1" applyBorder="1" applyAlignment="1">
      <alignment horizontal="right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28" xfId="0" applyNumberFormat="1" applyFont="1" applyBorder="1" applyAlignment="1">
      <alignment horizontal="center" vertical="center"/>
    </xf>
    <xf numFmtId="9" fontId="6" fillId="0" borderId="4" xfId="0" applyNumberFormat="1" applyFont="1" applyBorder="1" applyAlignment="1">
      <alignment horizontal="center" vertical="center"/>
    </xf>
    <xf numFmtId="0" fontId="18" fillId="7" borderId="0" xfId="0" applyFont="1" applyFill="1">
      <alignment vertical="center"/>
    </xf>
    <xf numFmtId="0" fontId="4" fillId="8" borderId="18" xfId="0" applyFont="1" applyFill="1" applyBorder="1">
      <alignment vertical="center"/>
    </xf>
    <xf numFmtId="0" fontId="5" fillId="9" borderId="0" xfId="0" applyFont="1" applyFill="1" applyAlignment="1">
      <alignment horizontal="center" vertical="center"/>
    </xf>
    <xf numFmtId="178" fontId="6" fillId="10" borderId="18" xfId="0" applyNumberFormat="1" applyFont="1" applyFill="1" applyBorder="1" applyAlignment="1">
      <alignment horizontal="center" vertical="center"/>
    </xf>
    <xf numFmtId="179" fontId="6" fillId="10" borderId="18" xfId="0" applyNumberFormat="1" applyFont="1" applyFill="1" applyBorder="1" applyAlignment="1">
      <alignment horizontal="center" vertical="center"/>
    </xf>
    <xf numFmtId="0" fontId="6" fillId="10" borderId="18" xfId="0" applyFont="1" applyFill="1" applyBorder="1">
      <alignment vertical="center"/>
    </xf>
    <xf numFmtId="178" fontId="6" fillId="11" borderId="18" xfId="0" applyNumberFormat="1" applyFont="1" applyFill="1" applyBorder="1" applyAlignment="1">
      <alignment horizontal="center" vertical="center"/>
    </xf>
    <xf numFmtId="179" fontId="6" fillId="11" borderId="18" xfId="0" applyNumberFormat="1" applyFont="1" applyFill="1" applyBorder="1" applyAlignment="1">
      <alignment horizontal="center" vertical="center"/>
    </xf>
    <xf numFmtId="0" fontId="6" fillId="11" borderId="18" xfId="0" applyFont="1" applyFill="1" applyBorder="1">
      <alignment vertical="center"/>
    </xf>
    <xf numFmtId="178" fontId="6" fillId="12" borderId="18" xfId="0" applyNumberFormat="1" applyFont="1" applyFill="1" applyBorder="1" applyAlignment="1">
      <alignment horizontal="center" vertical="center"/>
    </xf>
    <xf numFmtId="179" fontId="6" fillId="12" borderId="18" xfId="0" applyNumberFormat="1" applyFont="1" applyFill="1" applyBorder="1" applyAlignment="1">
      <alignment horizontal="center" vertical="center"/>
    </xf>
    <xf numFmtId="0" fontId="6" fillId="12" borderId="18" xfId="0" applyFont="1" applyFill="1" applyBorder="1">
      <alignment vertical="center"/>
    </xf>
    <xf numFmtId="0" fontId="3" fillId="10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3" borderId="0" xfId="0" applyFill="1">
      <alignment vertical="center"/>
    </xf>
    <xf numFmtId="0" fontId="6" fillId="13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13" borderId="27" xfId="0" applyFont="1" applyFill="1" applyBorder="1">
      <alignment vertical="center"/>
    </xf>
    <xf numFmtId="2" fontId="3" fillId="12" borderId="25" xfId="0" applyNumberFormat="1" applyFont="1" applyFill="1" applyBorder="1" applyAlignment="1">
      <alignment horizontal="center" vertical="center"/>
    </xf>
    <xf numFmtId="0" fontId="16" fillId="12" borderId="25" xfId="0" applyFont="1" applyFill="1" applyBorder="1" applyAlignment="1">
      <alignment horizontal="center" vertical="center"/>
    </xf>
    <xf numFmtId="38" fontId="16" fillId="12" borderId="25" xfId="0" applyNumberFormat="1" applyFont="1" applyFill="1" applyBorder="1" applyAlignment="1">
      <alignment horizontal="center" vertical="center"/>
    </xf>
    <xf numFmtId="38" fontId="16" fillId="12" borderId="25" xfId="0" applyNumberFormat="1" applyFont="1" applyFill="1" applyBorder="1" applyAlignment="1">
      <alignment horizontal="right" vertical="center"/>
    </xf>
    <xf numFmtId="2" fontId="3" fillId="10" borderId="29" xfId="0" applyNumberFormat="1" applyFont="1" applyFill="1" applyBorder="1" applyAlignment="1">
      <alignment horizontal="center" vertical="center"/>
    </xf>
    <xf numFmtId="0" fontId="16" fillId="10" borderId="29" xfId="0" applyFont="1" applyFill="1" applyBorder="1" applyAlignment="1">
      <alignment horizontal="center" vertical="center"/>
    </xf>
    <xf numFmtId="38" fontId="16" fillId="10" borderId="29" xfId="0" applyNumberFormat="1" applyFont="1" applyFill="1" applyBorder="1" applyAlignment="1">
      <alignment horizontal="center" vertical="center"/>
    </xf>
    <xf numFmtId="38" fontId="16" fillId="10" borderId="29" xfId="0" applyNumberFormat="1" applyFont="1" applyFill="1" applyBorder="1" applyAlignment="1">
      <alignment horizontal="right" vertical="center"/>
    </xf>
    <xf numFmtId="2" fontId="16" fillId="8" borderId="4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38" fontId="16" fillId="8" borderId="4" xfId="0" applyNumberFormat="1" applyFont="1" applyFill="1" applyBorder="1" applyAlignment="1">
      <alignment horizontal="center" vertical="center"/>
    </xf>
    <xf numFmtId="38" fontId="16" fillId="8" borderId="4" xfId="0" applyNumberFormat="1" applyFont="1" applyFill="1" applyBorder="1" applyAlignment="1">
      <alignment horizontal="right" vertical="center"/>
    </xf>
    <xf numFmtId="2" fontId="19" fillId="14" borderId="4" xfId="0" applyNumberFormat="1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38" fontId="19" fillId="14" borderId="4" xfId="0" applyNumberFormat="1" applyFont="1" applyFill="1" applyBorder="1" applyAlignment="1">
      <alignment horizontal="center" vertical="center"/>
    </xf>
    <xf numFmtId="38" fontId="19" fillId="14" borderId="4" xfId="0" applyNumberFormat="1" applyFont="1" applyFill="1" applyBorder="1" applyAlignment="1">
      <alignment horizontal="right" vertical="center"/>
    </xf>
    <xf numFmtId="0" fontId="6" fillId="11" borderId="4" xfId="0" applyFont="1" applyFill="1" applyBorder="1" applyAlignment="1">
      <alignment horizontal="center" vertical="center"/>
    </xf>
    <xf numFmtId="38" fontId="6" fillId="11" borderId="4" xfId="0" applyNumberFormat="1" applyFont="1" applyFill="1" applyBorder="1" applyAlignment="1">
      <alignment horizontal="center" vertical="center"/>
    </xf>
    <xf numFmtId="2" fontId="3" fillId="11" borderId="4" xfId="0" applyNumberFormat="1" applyFont="1" applyFill="1" applyBorder="1" applyAlignment="1">
      <alignment horizontal="center" vertical="center"/>
    </xf>
    <xf numFmtId="38" fontId="3" fillId="11" borderId="4" xfId="0" applyNumberFormat="1" applyFont="1" applyFill="1" applyBorder="1" applyAlignment="1">
      <alignment horizontal="right" vertical="center"/>
    </xf>
    <xf numFmtId="0" fontId="4" fillId="16" borderId="0" xfId="0" applyFont="1" applyFill="1" applyAlignment="1">
      <alignment horizontal="left" vertical="center"/>
    </xf>
    <xf numFmtId="177" fontId="4" fillId="16" borderId="0" xfId="0" applyNumberFormat="1" applyFont="1" applyFill="1" applyAlignment="1">
      <alignment horizontal="right" vertical="center"/>
    </xf>
    <xf numFmtId="0" fontId="4" fillId="16" borderId="9" xfId="0" applyFont="1" applyFill="1" applyBorder="1">
      <alignment vertical="center"/>
    </xf>
    <xf numFmtId="0" fontId="4" fillId="16" borderId="0" xfId="0" applyFont="1" applyFill="1">
      <alignment vertical="center"/>
    </xf>
    <xf numFmtId="177" fontId="4" fillId="16" borderId="7" xfId="0" applyNumberFormat="1" applyFont="1" applyFill="1" applyBorder="1" applyAlignment="1">
      <alignment horizontal="right" vertical="center"/>
    </xf>
    <xf numFmtId="0" fontId="6" fillId="17" borderId="0" xfId="0" applyFont="1" applyFill="1">
      <alignment vertical="center"/>
    </xf>
    <xf numFmtId="0" fontId="0" fillId="18" borderId="0" xfId="0" applyFill="1">
      <alignment vertical="center"/>
    </xf>
    <xf numFmtId="0" fontId="7" fillId="18" borderId="0" xfId="0" applyFont="1" applyFill="1">
      <alignment vertical="center"/>
    </xf>
    <xf numFmtId="0" fontId="7" fillId="18" borderId="30" xfId="0" applyFont="1" applyFill="1" applyBorder="1">
      <alignment vertical="center"/>
    </xf>
    <xf numFmtId="0" fontId="0" fillId="18" borderId="30" xfId="0" applyFill="1" applyBorder="1">
      <alignment vertical="center"/>
    </xf>
    <xf numFmtId="0" fontId="0" fillId="17" borderId="0" xfId="0" applyFill="1">
      <alignment vertical="center"/>
    </xf>
    <xf numFmtId="0" fontId="7" fillId="17" borderId="0" xfId="0" applyFont="1" applyFill="1">
      <alignment vertical="center"/>
    </xf>
    <xf numFmtId="0" fontId="0" fillId="20" borderId="31" xfId="0" applyFill="1" applyBorder="1">
      <alignment vertical="center"/>
    </xf>
    <xf numFmtId="0" fontId="6" fillId="20" borderId="31" xfId="0" applyFont="1" applyFill="1" applyBorder="1">
      <alignment vertical="center"/>
    </xf>
    <xf numFmtId="0" fontId="0" fillId="20" borderId="0" xfId="0" applyFill="1">
      <alignment vertical="center"/>
    </xf>
    <xf numFmtId="0" fontId="6" fillId="20" borderId="0" xfId="0" applyFont="1" applyFill="1">
      <alignment vertical="center"/>
    </xf>
    <xf numFmtId="0" fontId="1" fillId="17" borderId="0" xfId="0" applyFont="1" applyFill="1" applyAlignment="1">
      <alignment horizontal="left" vertical="center"/>
    </xf>
    <xf numFmtId="0" fontId="9" fillId="17" borderId="0" xfId="0" applyFont="1" applyFill="1" applyAlignment="1">
      <alignment horizontal="left" vertical="center"/>
    </xf>
    <xf numFmtId="2" fontId="21" fillId="17" borderId="1" xfId="0" applyNumberFormat="1" applyFont="1" applyFill="1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49" fontId="21" fillId="21" borderId="1" xfId="0" applyNumberFormat="1" applyFont="1" applyFill="1" applyBorder="1" applyAlignment="1">
      <alignment horizontal="centerContinuous" vertical="center"/>
    </xf>
    <xf numFmtId="0" fontId="0" fillId="21" borderId="1" xfId="0" applyFill="1" applyBorder="1" applyAlignment="1">
      <alignment horizontal="centerContinuous" vertical="center"/>
    </xf>
    <xf numFmtId="49" fontId="21" fillId="21" borderId="33" xfId="0" applyNumberFormat="1" applyFont="1" applyFill="1" applyBorder="1" applyAlignment="1">
      <alignment horizontal="centerContinuous" vertical="center"/>
    </xf>
    <xf numFmtId="0" fontId="0" fillId="21" borderId="33" xfId="0" applyFill="1" applyBorder="1" applyAlignment="1">
      <alignment horizontal="centerContinuous" vertical="center"/>
    </xf>
    <xf numFmtId="2" fontId="16" fillId="0" borderId="34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38" fontId="16" fillId="0" borderId="34" xfId="0" applyNumberFormat="1" applyFont="1" applyBorder="1" applyAlignment="1">
      <alignment horizontal="center" vertical="center"/>
    </xf>
    <xf numFmtId="38" fontId="16" fillId="0" borderId="34" xfId="0" applyNumberFormat="1" applyFont="1" applyBorder="1" applyAlignment="1">
      <alignment horizontal="right" vertical="center"/>
    </xf>
    <xf numFmtId="2" fontId="14" fillId="7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38" fontId="14" fillId="7" borderId="0" xfId="0" applyNumberFormat="1" applyFont="1" applyFill="1" applyAlignment="1">
      <alignment horizontal="center" vertical="center"/>
    </xf>
    <xf numFmtId="38" fontId="14" fillId="7" borderId="0" xfId="0" applyNumberFormat="1" applyFont="1" applyFill="1" applyAlignment="1">
      <alignment horizontal="right" vertical="center"/>
    </xf>
    <xf numFmtId="0" fontId="4" fillId="17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18" borderId="30" xfId="0" applyFont="1" applyFill="1" applyBorder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4" fillId="18" borderId="30" xfId="0" applyFont="1" applyFill="1" applyBorder="1" applyAlignment="1">
      <alignment horizontal="right" vertical="center"/>
    </xf>
    <xf numFmtId="0" fontId="4" fillId="18" borderId="0" xfId="0" applyFont="1" applyFill="1" applyAlignment="1">
      <alignment horizontal="right" vertical="center"/>
    </xf>
    <xf numFmtId="0" fontId="1" fillId="1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9" fillId="17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3" fillId="2" borderId="24" xfId="0" applyFont="1" applyFill="1" applyBorder="1" applyAlignment="1">
      <alignment horizontal="left" vertical="top"/>
    </xf>
    <xf numFmtId="0" fontId="11" fillId="13" borderId="26" xfId="0" applyFont="1" applyFill="1" applyBorder="1">
      <alignment vertical="center"/>
    </xf>
    <xf numFmtId="0" fontId="6" fillId="13" borderId="0" xfId="0" applyFont="1" applyFill="1" applyAlignment="1">
      <alignment vertical="center" wrapText="1"/>
    </xf>
    <xf numFmtId="0" fontId="6" fillId="13" borderId="27" xfId="0" applyFont="1" applyFill="1" applyBorder="1" applyAlignment="1">
      <alignment vertical="center" wrapText="1"/>
    </xf>
    <xf numFmtId="0" fontId="13" fillId="13" borderId="0" xfId="0" applyFont="1" applyFill="1">
      <alignment vertical="center"/>
    </xf>
    <xf numFmtId="0" fontId="13" fillId="13" borderId="27" xfId="0" applyFont="1" applyFill="1" applyBorder="1">
      <alignment vertical="center"/>
    </xf>
    <xf numFmtId="0" fontId="2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38" fontId="20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3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20" fillId="21" borderId="1" xfId="0" applyFont="1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22" fillId="21" borderId="1" xfId="0" applyFont="1" applyFill="1" applyBorder="1" applyAlignment="1">
      <alignment horizontal="left" vertical="center"/>
    </xf>
    <xf numFmtId="0" fontId="0" fillId="21" borderId="1" xfId="0" applyFill="1" applyBorder="1">
      <alignment vertical="center"/>
    </xf>
    <xf numFmtId="38" fontId="23" fillId="21" borderId="1" xfId="0" applyNumberFormat="1" applyFont="1" applyFill="1" applyBorder="1" applyAlignment="1">
      <alignment horizontal="right" vertical="center"/>
    </xf>
    <xf numFmtId="0" fontId="0" fillId="21" borderId="1" xfId="0" applyFill="1" applyBorder="1" applyAlignment="1">
      <alignment horizontal="right" vertical="center"/>
    </xf>
    <xf numFmtId="0" fontId="20" fillId="21" borderId="33" xfId="0" applyFont="1" applyFill="1" applyBorder="1" applyAlignment="1">
      <alignment horizontal="left" vertical="center"/>
    </xf>
    <xf numFmtId="0" fontId="0" fillId="21" borderId="33" xfId="0" applyFill="1" applyBorder="1" applyAlignment="1">
      <alignment horizontal="left" vertical="center"/>
    </xf>
    <xf numFmtId="0" fontId="22" fillId="21" borderId="33" xfId="0" applyFont="1" applyFill="1" applyBorder="1" applyAlignment="1">
      <alignment horizontal="left" vertical="center"/>
    </xf>
    <xf numFmtId="0" fontId="0" fillId="21" borderId="33" xfId="0" applyFill="1" applyBorder="1">
      <alignment vertical="center"/>
    </xf>
    <xf numFmtId="38" fontId="23" fillId="21" borderId="33" xfId="0" applyNumberFormat="1" applyFont="1" applyFill="1" applyBorder="1" applyAlignment="1">
      <alignment horizontal="right" vertical="center"/>
    </xf>
    <xf numFmtId="0" fontId="0" fillId="21" borderId="33" xfId="0" applyFill="1" applyBorder="1" applyAlignment="1">
      <alignment horizontal="right" vertical="center"/>
    </xf>
    <xf numFmtId="0" fontId="4" fillId="0" borderId="4" xfId="0" applyFont="1" applyBorder="1">
      <alignment vertical="center"/>
    </xf>
    <xf numFmtId="180" fontId="6" fillId="0" borderId="4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24" fillId="17" borderId="4" xfId="0" applyFont="1" applyFill="1" applyBorder="1">
      <alignment vertical="center"/>
    </xf>
    <xf numFmtId="180" fontId="13" fillId="17" borderId="4" xfId="0" applyNumberFormat="1" applyFont="1" applyFill="1" applyBorder="1" applyAlignment="1">
      <alignment horizontal="right" vertical="center"/>
    </xf>
    <xf numFmtId="0" fontId="20" fillId="17" borderId="4" xfId="0" applyFont="1" applyFill="1" applyBorder="1" applyAlignment="1">
      <alignment horizontal="right" vertical="center"/>
    </xf>
    <xf numFmtId="0" fontId="14" fillId="9" borderId="31" xfId="0" applyFont="1" applyFill="1" applyBorder="1" applyAlignment="1">
      <alignment horizontal="center" vertical="center"/>
    </xf>
    <xf numFmtId="0" fontId="14" fillId="9" borderId="32" xfId="0" applyFont="1" applyFill="1" applyBorder="1" applyAlignment="1">
      <alignment horizontal="center" vertical="center"/>
    </xf>
    <xf numFmtId="180" fontId="15" fillId="11" borderId="31" xfId="0" applyNumberFormat="1" applyFont="1" applyFill="1" applyBorder="1" applyAlignment="1">
      <alignment horizontal="right" vertical="center"/>
    </xf>
    <xf numFmtId="0" fontId="15" fillId="11" borderId="31" xfId="0" applyFont="1" applyFill="1" applyBorder="1" applyAlignment="1">
      <alignment horizontal="right" vertical="center"/>
    </xf>
    <xf numFmtId="0" fontId="15" fillId="11" borderId="32" xfId="0" applyFont="1" applyFill="1" applyBorder="1" applyAlignment="1">
      <alignment horizontal="right" vertical="center"/>
    </xf>
    <xf numFmtId="0" fontId="4" fillId="16" borderId="7" xfId="0" applyFont="1" applyFill="1" applyBorder="1" applyAlignment="1">
      <alignment horizontal="left" vertical="center"/>
    </xf>
    <xf numFmtId="0" fontId="4" fillId="16" borderId="12" xfId="0" applyFont="1" applyFill="1" applyBorder="1" applyAlignment="1">
      <alignment horizontal="left" vertical="center"/>
    </xf>
    <xf numFmtId="0" fontId="4" fillId="16" borderId="9" xfId="0" applyFont="1" applyFill="1" applyBorder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4" fillId="16" borderId="11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/>
    </xf>
    <xf numFmtId="177" fontId="4" fillId="16" borderId="0" xfId="0" applyNumberFormat="1" applyFont="1" applyFill="1" applyAlignment="1">
      <alignment horizontal="right" vertical="center"/>
    </xf>
    <xf numFmtId="0" fontId="4" fillId="16" borderId="13" xfId="0" applyFont="1" applyFill="1" applyBorder="1" applyAlignment="1">
      <alignment horizontal="left" vertical="center"/>
    </xf>
    <xf numFmtId="0" fontId="4" fillId="16" borderId="5" xfId="0" applyFont="1" applyFill="1" applyBorder="1" applyAlignment="1">
      <alignment horizontal="left" vertical="center"/>
    </xf>
    <xf numFmtId="177" fontId="4" fillId="16" borderId="5" xfId="0" applyNumberFormat="1" applyFont="1" applyFill="1" applyBorder="1" applyAlignment="1">
      <alignment horizontal="right" vertical="center"/>
    </xf>
    <xf numFmtId="0" fontId="4" fillId="16" borderId="14" xfId="0" applyFont="1" applyFill="1" applyBorder="1" applyAlignment="1">
      <alignment horizontal="left" vertical="center"/>
    </xf>
    <xf numFmtId="0" fontId="4" fillId="16" borderId="6" xfId="0" applyFont="1" applyFill="1" applyBorder="1" applyAlignment="1">
      <alignment horizontal="left" vertical="center"/>
    </xf>
    <xf numFmtId="177" fontId="4" fillId="16" borderId="6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4" fillId="16" borderId="10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176" fontId="4" fillId="16" borderId="9" xfId="0" applyNumberFormat="1" applyFont="1" applyFill="1" applyBorder="1" applyAlignment="1">
      <alignment horizontal="left" vertical="center"/>
    </xf>
    <xf numFmtId="176" fontId="4" fillId="16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16" fillId="12" borderId="25" xfId="0" applyFont="1" applyFill="1" applyBorder="1">
      <alignment vertical="center"/>
    </xf>
    <xf numFmtId="0" fontId="16" fillId="10" borderId="29" xfId="0" applyFont="1" applyFill="1" applyBorder="1">
      <alignment vertical="center"/>
    </xf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>
      <alignment vertical="center"/>
    </xf>
    <xf numFmtId="0" fontId="6" fillId="11" borderId="4" xfId="0" applyFont="1" applyFill="1" applyBorder="1">
      <alignment vertical="center"/>
    </xf>
    <xf numFmtId="0" fontId="6" fillId="0" borderId="28" xfId="0" applyFont="1" applyBorder="1" applyAlignment="1">
      <alignment vertical="center" wrapText="1"/>
    </xf>
    <xf numFmtId="0" fontId="16" fillId="8" borderId="4" xfId="0" applyFont="1" applyFill="1" applyBorder="1">
      <alignment vertical="center"/>
    </xf>
    <xf numFmtId="0" fontId="19" fillId="14" borderId="4" xfId="0" applyFont="1" applyFill="1" applyBorder="1">
      <alignment vertical="center"/>
    </xf>
    <xf numFmtId="0" fontId="25" fillId="20" borderId="31" xfId="0" applyFont="1" applyFill="1" applyBorder="1" applyAlignment="1">
      <alignment horizontal="left" vertical="center"/>
    </xf>
    <xf numFmtId="0" fontId="25" fillId="0" borderId="3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20" borderId="31" xfId="0" applyFont="1" applyFill="1" applyBorder="1" applyAlignment="1">
      <alignment horizontal="right" vertical="center"/>
    </xf>
    <xf numFmtId="0" fontId="25" fillId="0" borderId="31" xfId="0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4" fillId="15" borderId="0" xfId="0" applyFont="1" applyFill="1" applyAlignment="1">
      <alignment vertical="center" wrapText="1"/>
    </xf>
    <xf numFmtId="0" fontId="14" fillId="7" borderId="0" xfId="0" applyFont="1" applyFill="1">
      <alignment vertical="center"/>
    </xf>
    <xf numFmtId="0" fontId="16" fillId="0" borderId="34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8" borderId="10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8" borderId="19" xfId="0" applyFont="1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6" fillId="8" borderId="20" xfId="0" applyFont="1" applyFill="1" applyBorder="1" applyAlignment="1">
      <alignment vertical="center" wrapText="1"/>
    </xf>
    <xf numFmtId="0" fontId="6" fillId="8" borderId="21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6" fillId="8" borderId="22" xfId="0" applyFont="1" applyFill="1" applyBorder="1" applyAlignment="1">
      <alignment vertical="center" wrapText="1"/>
    </xf>
    <xf numFmtId="0" fontId="4" fillId="8" borderId="23" xfId="0" applyFont="1" applyFill="1" applyBorder="1">
      <alignment vertical="center"/>
    </xf>
    <xf numFmtId="0" fontId="4" fillId="8" borderId="0" xfId="0" applyFont="1" applyFill="1">
      <alignment vertical="center"/>
    </xf>
    <xf numFmtId="0" fontId="4" fillId="8" borderId="23" xfId="0" applyFont="1" applyFill="1" applyBorder="1" applyAlignment="1">
      <alignment horizontal="right" vertical="center"/>
    </xf>
    <xf numFmtId="0" fontId="4" fillId="8" borderId="0" xfId="0" applyFont="1" applyFill="1" applyAlignment="1">
      <alignment horizontal="right" vertical="center"/>
    </xf>
    <xf numFmtId="0" fontId="0" fillId="0" borderId="0" xfId="0" applyBorder="1">
      <alignment vertical="center"/>
    </xf>
    <xf numFmtId="2" fontId="21" fillId="17" borderId="0" xfId="0" applyNumberFormat="1" applyFont="1" applyFill="1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  <xf numFmtId="0" fontId="2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38" fontId="20" fillId="0" borderId="0" xfId="0" applyNumberFormat="1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26" fillId="19" borderId="0" xfId="0" applyFont="1" applyFill="1" applyBorder="1" applyAlignment="1">
      <alignment horizontal="centerContinuous" vertical="center"/>
    </xf>
    <xf numFmtId="0" fontId="14" fillId="1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57325</xdr:colOff>
      <xdr:row>3</xdr:row>
      <xdr:rowOff>15081</xdr:rowOff>
    </xdr:to>
    <xdr:sp macro="" textlink="">
      <xdr:nvSpPr>
        <xdr:cNvPr id="2" name="직사각형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0"/>
          <a:ext cx="57325" cy="329406"/>
        </a:xfrm>
        <a:prstGeom prst="rect">
          <a:avLst/>
        </a:prstGeom>
        <a:solidFill>
          <a:srgbClr val="FFF4E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52695</xdr:colOff>
      <xdr:row>0</xdr:row>
      <xdr:rowOff>0</xdr:rowOff>
    </xdr:from>
    <xdr:to>
      <xdr:col>0</xdr:col>
      <xdr:colOff>110021</xdr:colOff>
      <xdr:row>3</xdr:row>
      <xdr:rowOff>15081</xdr:rowOff>
    </xdr:to>
    <xdr:sp macro="" textlink="">
      <xdr:nvSpPr>
        <xdr:cNvPr id="3" name="직사각형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52695" y="0"/>
          <a:ext cx="57326" cy="329406"/>
        </a:xfrm>
        <a:prstGeom prst="rect">
          <a:avLst/>
        </a:prstGeom>
        <a:solidFill>
          <a:srgbClr val="FFF2ED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105391</xdr:colOff>
      <xdr:row>0</xdr:row>
      <xdr:rowOff>0</xdr:rowOff>
    </xdr:from>
    <xdr:to>
      <xdr:col>0</xdr:col>
      <xdr:colOff>162716</xdr:colOff>
      <xdr:row>3</xdr:row>
      <xdr:rowOff>15081</xdr:rowOff>
    </xdr:to>
    <xdr:sp macro="" textlink="">
      <xdr:nvSpPr>
        <xdr:cNvPr id="4" name="직사각형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105391" y="0"/>
          <a:ext cx="57325" cy="329406"/>
        </a:xfrm>
        <a:prstGeom prst="rect">
          <a:avLst/>
        </a:prstGeom>
        <a:solidFill>
          <a:srgbClr val="FFF1E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158086</xdr:colOff>
      <xdr:row>0</xdr:row>
      <xdr:rowOff>0</xdr:rowOff>
    </xdr:from>
    <xdr:to>
      <xdr:col>0</xdr:col>
      <xdr:colOff>215411</xdr:colOff>
      <xdr:row>3</xdr:row>
      <xdr:rowOff>15081</xdr:rowOff>
    </xdr:to>
    <xdr:sp macro="" textlink="">
      <xdr:nvSpPr>
        <xdr:cNvPr id="5" name="직사각형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158086" y="0"/>
          <a:ext cx="57325" cy="329406"/>
        </a:xfrm>
        <a:prstGeom prst="rect">
          <a:avLst/>
        </a:prstGeom>
        <a:solidFill>
          <a:srgbClr val="FFEFE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210781</xdr:colOff>
      <xdr:row>0</xdr:row>
      <xdr:rowOff>0</xdr:rowOff>
    </xdr:from>
    <xdr:to>
      <xdr:col>0</xdr:col>
      <xdr:colOff>268107</xdr:colOff>
      <xdr:row>3</xdr:row>
      <xdr:rowOff>15081</xdr:rowOff>
    </xdr:to>
    <xdr:sp macro="" textlink="">
      <xdr:nvSpPr>
        <xdr:cNvPr id="6" name="직사각형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210781" y="0"/>
          <a:ext cx="57326" cy="329406"/>
        </a:xfrm>
        <a:prstGeom prst="rect">
          <a:avLst/>
        </a:prstGeom>
        <a:solidFill>
          <a:srgbClr val="FEEDE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263477</xdr:colOff>
      <xdr:row>0</xdr:row>
      <xdr:rowOff>0</xdr:rowOff>
    </xdr:from>
    <xdr:to>
      <xdr:col>0</xdr:col>
      <xdr:colOff>320802</xdr:colOff>
      <xdr:row>3</xdr:row>
      <xdr:rowOff>15081</xdr:rowOff>
    </xdr:to>
    <xdr:sp macro="" textlink="">
      <xdr:nvSpPr>
        <xdr:cNvPr id="7" name="직사각형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263477" y="0"/>
          <a:ext cx="57325" cy="329406"/>
        </a:xfrm>
        <a:prstGeom prst="rect">
          <a:avLst/>
        </a:prstGeom>
        <a:solidFill>
          <a:srgbClr val="FEECE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316172</xdr:colOff>
      <xdr:row>0</xdr:row>
      <xdr:rowOff>0</xdr:rowOff>
    </xdr:from>
    <xdr:to>
      <xdr:col>0</xdr:col>
      <xdr:colOff>373497</xdr:colOff>
      <xdr:row>3</xdr:row>
      <xdr:rowOff>15081</xdr:rowOff>
    </xdr:to>
    <xdr:sp macro="" textlink="">
      <xdr:nvSpPr>
        <xdr:cNvPr id="8" name="직사각형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>
          <a:off x="316172" y="0"/>
          <a:ext cx="57325" cy="329406"/>
        </a:xfrm>
        <a:prstGeom prst="rect">
          <a:avLst/>
        </a:prstGeom>
        <a:solidFill>
          <a:srgbClr val="FEEAE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368866</xdr:colOff>
      <xdr:row>0</xdr:row>
      <xdr:rowOff>0</xdr:rowOff>
    </xdr:from>
    <xdr:to>
      <xdr:col>1</xdr:col>
      <xdr:colOff>33187</xdr:colOff>
      <xdr:row>3</xdr:row>
      <xdr:rowOff>15081</xdr:rowOff>
    </xdr:to>
    <xdr:sp macro="" textlink="">
      <xdr:nvSpPr>
        <xdr:cNvPr id="9" name="직사각형 1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Grp="1"/>
        </xdr:cNvSpPr>
      </xdr:nvSpPr>
      <xdr:spPr>
        <a:xfrm>
          <a:off x="368866" y="0"/>
          <a:ext cx="54846" cy="329406"/>
        </a:xfrm>
        <a:prstGeom prst="rect">
          <a:avLst/>
        </a:prstGeom>
        <a:solidFill>
          <a:srgbClr val="FEE9D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28557</xdr:colOff>
      <xdr:row>0</xdr:row>
      <xdr:rowOff>0</xdr:rowOff>
    </xdr:from>
    <xdr:to>
      <xdr:col>1</xdr:col>
      <xdr:colOff>85882</xdr:colOff>
      <xdr:row>3</xdr:row>
      <xdr:rowOff>15081</xdr:rowOff>
    </xdr:to>
    <xdr:sp macro="" textlink="">
      <xdr:nvSpPr>
        <xdr:cNvPr id="10" name="직사각형 1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Grp="1"/>
        </xdr:cNvSpPr>
      </xdr:nvSpPr>
      <xdr:spPr>
        <a:xfrm>
          <a:off x="419082" y="0"/>
          <a:ext cx="57325" cy="329406"/>
        </a:xfrm>
        <a:prstGeom prst="rect">
          <a:avLst/>
        </a:prstGeom>
        <a:solidFill>
          <a:srgbClr val="FEE7DD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81252</xdr:colOff>
      <xdr:row>0</xdr:row>
      <xdr:rowOff>0</xdr:rowOff>
    </xdr:from>
    <xdr:to>
      <xdr:col>1</xdr:col>
      <xdr:colOff>138577</xdr:colOff>
      <xdr:row>3</xdr:row>
      <xdr:rowOff>15081</xdr:rowOff>
    </xdr:to>
    <xdr:sp macro="" textlink="">
      <xdr:nvSpPr>
        <xdr:cNvPr id="11" name="직사각형 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Grp="1"/>
        </xdr:cNvSpPr>
      </xdr:nvSpPr>
      <xdr:spPr>
        <a:xfrm>
          <a:off x="471777" y="0"/>
          <a:ext cx="57325" cy="329406"/>
        </a:xfrm>
        <a:prstGeom prst="rect">
          <a:avLst/>
        </a:prstGeom>
        <a:solidFill>
          <a:srgbClr val="FEE5D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133947</xdr:colOff>
      <xdr:row>0</xdr:row>
      <xdr:rowOff>0</xdr:rowOff>
    </xdr:from>
    <xdr:to>
      <xdr:col>1</xdr:col>
      <xdr:colOff>191273</xdr:colOff>
      <xdr:row>3</xdr:row>
      <xdr:rowOff>15081</xdr:rowOff>
    </xdr:to>
    <xdr:sp macro="" textlink="">
      <xdr:nvSpPr>
        <xdr:cNvPr id="12" name="직사각형 1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Grp="1"/>
        </xdr:cNvSpPr>
      </xdr:nvSpPr>
      <xdr:spPr>
        <a:xfrm>
          <a:off x="524472" y="0"/>
          <a:ext cx="57326" cy="329406"/>
        </a:xfrm>
        <a:prstGeom prst="rect">
          <a:avLst/>
        </a:prstGeom>
        <a:solidFill>
          <a:srgbClr val="FEE4D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186643</xdr:colOff>
      <xdr:row>0</xdr:row>
      <xdr:rowOff>0</xdr:rowOff>
    </xdr:from>
    <xdr:to>
      <xdr:col>1</xdr:col>
      <xdr:colOff>243968</xdr:colOff>
      <xdr:row>3</xdr:row>
      <xdr:rowOff>15081</xdr:rowOff>
    </xdr:to>
    <xdr:sp macro="" textlink="">
      <xdr:nvSpPr>
        <xdr:cNvPr id="13" name="직사각형 1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Grp="1"/>
        </xdr:cNvSpPr>
      </xdr:nvSpPr>
      <xdr:spPr>
        <a:xfrm>
          <a:off x="577168" y="0"/>
          <a:ext cx="57325" cy="329406"/>
        </a:xfrm>
        <a:prstGeom prst="rect">
          <a:avLst/>
        </a:prstGeom>
        <a:solidFill>
          <a:srgbClr val="FDE2D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239338</xdr:colOff>
      <xdr:row>0</xdr:row>
      <xdr:rowOff>0</xdr:rowOff>
    </xdr:from>
    <xdr:to>
      <xdr:col>1</xdr:col>
      <xdr:colOff>296663</xdr:colOff>
      <xdr:row>3</xdr:row>
      <xdr:rowOff>15081</xdr:rowOff>
    </xdr:to>
    <xdr:sp macro="" textlink="">
      <xdr:nvSpPr>
        <xdr:cNvPr id="14" name="직사각형 1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Grp="1"/>
        </xdr:cNvSpPr>
      </xdr:nvSpPr>
      <xdr:spPr>
        <a:xfrm>
          <a:off x="629863" y="0"/>
          <a:ext cx="57325" cy="329406"/>
        </a:xfrm>
        <a:prstGeom prst="rect">
          <a:avLst/>
        </a:prstGeom>
        <a:solidFill>
          <a:srgbClr val="FDE0D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292033</xdr:colOff>
      <xdr:row>0</xdr:row>
      <xdr:rowOff>0</xdr:rowOff>
    </xdr:from>
    <xdr:to>
      <xdr:col>1</xdr:col>
      <xdr:colOff>349359</xdr:colOff>
      <xdr:row>3</xdr:row>
      <xdr:rowOff>15081</xdr:rowOff>
    </xdr:to>
    <xdr:sp macro="" textlink="">
      <xdr:nvSpPr>
        <xdr:cNvPr id="15" name="직사각형 1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Grp="1"/>
        </xdr:cNvSpPr>
      </xdr:nvSpPr>
      <xdr:spPr>
        <a:xfrm>
          <a:off x="682558" y="0"/>
          <a:ext cx="57326" cy="329406"/>
        </a:xfrm>
        <a:prstGeom prst="rect">
          <a:avLst/>
        </a:prstGeom>
        <a:solidFill>
          <a:srgbClr val="FDDFD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344729</xdr:colOff>
      <xdr:row>0</xdr:row>
      <xdr:rowOff>0</xdr:rowOff>
    </xdr:from>
    <xdr:to>
      <xdr:col>1</xdr:col>
      <xdr:colOff>402054</xdr:colOff>
      <xdr:row>3</xdr:row>
      <xdr:rowOff>15081</xdr:rowOff>
    </xdr:to>
    <xdr:sp macro="" textlink="">
      <xdr:nvSpPr>
        <xdr:cNvPr id="16" name="직사각형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Grp="1"/>
        </xdr:cNvSpPr>
      </xdr:nvSpPr>
      <xdr:spPr>
        <a:xfrm>
          <a:off x="735254" y="0"/>
          <a:ext cx="57325" cy="329406"/>
        </a:xfrm>
        <a:prstGeom prst="rect">
          <a:avLst/>
        </a:prstGeom>
        <a:solidFill>
          <a:srgbClr val="FDDDC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397424</xdr:colOff>
      <xdr:row>0</xdr:row>
      <xdr:rowOff>0</xdr:rowOff>
    </xdr:from>
    <xdr:to>
      <xdr:col>1</xdr:col>
      <xdr:colOff>454749</xdr:colOff>
      <xdr:row>3</xdr:row>
      <xdr:rowOff>15081</xdr:rowOff>
    </xdr:to>
    <xdr:sp macro="" textlink="">
      <xdr:nvSpPr>
        <xdr:cNvPr id="17" name="직사각형 2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Grp="1"/>
        </xdr:cNvSpPr>
      </xdr:nvSpPr>
      <xdr:spPr>
        <a:xfrm>
          <a:off x="787949" y="0"/>
          <a:ext cx="57325" cy="329406"/>
        </a:xfrm>
        <a:prstGeom prst="rect">
          <a:avLst/>
        </a:prstGeom>
        <a:solidFill>
          <a:srgbClr val="FDDBC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450119</xdr:colOff>
      <xdr:row>0</xdr:row>
      <xdr:rowOff>0</xdr:rowOff>
    </xdr:from>
    <xdr:to>
      <xdr:col>1</xdr:col>
      <xdr:colOff>507445</xdr:colOff>
      <xdr:row>3</xdr:row>
      <xdr:rowOff>15081</xdr:rowOff>
    </xdr:to>
    <xdr:sp macro="" textlink="">
      <xdr:nvSpPr>
        <xdr:cNvPr id="18" name="직사각형 2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Grp="1"/>
        </xdr:cNvSpPr>
      </xdr:nvSpPr>
      <xdr:spPr>
        <a:xfrm>
          <a:off x="840644" y="0"/>
          <a:ext cx="57326" cy="329406"/>
        </a:xfrm>
        <a:prstGeom prst="rect">
          <a:avLst/>
        </a:prstGeom>
        <a:solidFill>
          <a:srgbClr val="FDDAC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502815</xdr:colOff>
      <xdr:row>0</xdr:row>
      <xdr:rowOff>0</xdr:rowOff>
    </xdr:from>
    <xdr:to>
      <xdr:col>1</xdr:col>
      <xdr:colOff>560140</xdr:colOff>
      <xdr:row>3</xdr:row>
      <xdr:rowOff>15081</xdr:rowOff>
    </xdr:to>
    <xdr:sp macro="" textlink="">
      <xdr:nvSpPr>
        <xdr:cNvPr id="19" name="직사각형 2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Grp="1"/>
        </xdr:cNvSpPr>
      </xdr:nvSpPr>
      <xdr:spPr>
        <a:xfrm>
          <a:off x="893340" y="0"/>
          <a:ext cx="57325" cy="329406"/>
        </a:xfrm>
        <a:prstGeom prst="rect">
          <a:avLst/>
        </a:prstGeom>
        <a:solidFill>
          <a:srgbClr val="FDD8C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555510</xdr:colOff>
      <xdr:row>0</xdr:row>
      <xdr:rowOff>0</xdr:rowOff>
    </xdr:from>
    <xdr:to>
      <xdr:col>1</xdr:col>
      <xdr:colOff>612835</xdr:colOff>
      <xdr:row>3</xdr:row>
      <xdr:rowOff>15081</xdr:rowOff>
    </xdr:to>
    <xdr:sp macro="" textlink="">
      <xdr:nvSpPr>
        <xdr:cNvPr id="20" name="직사각형 2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Grp="1"/>
        </xdr:cNvSpPr>
      </xdr:nvSpPr>
      <xdr:spPr>
        <a:xfrm>
          <a:off x="946035" y="0"/>
          <a:ext cx="57325" cy="329406"/>
        </a:xfrm>
        <a:prstGeom prst="rect">
          <a:avLst/>
        </a:prstGeom>
        <a:solidFill>
          <a:srgbClr val="FCD7C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608205</xdr:colOff>
      <xdr:row>0</xdr:row>
      <xdr:rowOff>0</xdr:rowOff>
    </xdr:from>
    <xdr:to>
      <xdr:col>2</xdr:col>
      <xdr:colOff>46406</xdr:colOff>
      <xdr:row>3</xdr:row>
      <xdr:rowOff>15081</xdr:rowOff>
    </xdr:to>
    <xdr:sp macro="" textlink="">
      <xdr:nvSpPr>
        <xdr:cNvPr id="21" name="직사각형 2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Grp="1"/>
        </xdr:cNvSpPr>
      </xdr:nvSpPr>
      <xdr:spPr>
        <a:xfrm>
          <a:off x="998730" y="0"/>
          <a:ext cx="57326" cy="329406"/>
        </a:xfrm>
        <a:prstGeom prst="rect">
          <a:avLst/>
        </a:prstGeom>
        <a:solidFill>
          <a:srgbClr val="FCD5C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41776</xdr:colOff>
      <xdr:row>0</xdr:row>
      <xdr:rowOff>0</xdr:rowOff>
    </xdr:from>
    <xdr:to>
      <xdr:col>2</xdr:col>
      <xdr:colOff>99101</xdr:colOff>
      <xdr:row>3</xdr:row>
      <xdr:rowOff>15081</xdr:rowOff>
    </xdr:to>
    <xdr:sp macro="" textlink="">
      <xdr:nvSpPr>
        <xdr:cNvPr id="22" name="직사각형 2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Grp="1"/>
        </xdr:cNvSpPr>
      </xdr:nvSpPr>
      <xdr:spPr>
        <a:xfrm>
          <a:off x="1051426" y="0"/>
          <a:ext cx="57325" cy="329406"/>
        </a:xfrm>
        <a:prstGeom prst="rect">
          <a:avLst/>
        </a:prstGeom>
        <a:solidFill>
          <a:srgbClr val="FCD3C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94471</xdr:colOff>
      <xdr:row>0</xdr:row>
      <xdr:rowOff>0</xdr:rowOff>
    </xdr:from>
    <xdr:to>
      <xdr:col>2</xdr:col>
      <xdr:colOff>151796</xdr:colOff>
      <xdr:row>3</xdr:row>
      <xdr:rowOff>15081</xdr:rowOff>
    </xdr:to>
    <xdr:sp macro="" textlink="">
      <xdr:nvSpPr>
        <xdr:cNvPr id="23" name="직사각형 2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Grp="1"/>
        </xdr:cNvSpPr>
      </xdr:nvSpPr>
      <xdr:spPr>
        <a:xfrm>
          <a:off x="1104121" y="0"/>
          <a:ext cx="57325" cy="329406"/>
        </a:xfrm>
        <a:prstGeom prst="rect">
          <a:avLst/>
        </a:prstGeom>
        <a:solidFill>
          <a:srgbClr val="FCD2B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147166</xdr:colOff>
      <xdr:row>0</xdr:row>
      <xdr:rowOff>0</xdr:rowOff>
    </xdr:from>
    <xdr:to>
      <xdr:col>2</xdr:col>
      <xdr:colOff>204492</xdr:colOff>
      <xdr:row>3</xdr:row>
      <xdr:rowOff>15081</xdr:rowOff>
    </xdr:to>
    <xdr:sp macro="" textlink="">
      <xdr:nvSpPr>
        <xdr:cNvPr id="24" name="직사각형 2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Grp="1"/>
        </xdr:cNvSpPr>
      </xdr:nvSpPr>
      <xdr:spPr>
        <a:xfrm>
          <a:off x="1156816" y="0"/>
          <a:ext cx="57326" cy="329406"/>
        </a:xfrm>
        <a:prstGeom prst="rect">
          <a:avLst/>
        </a:prstGeom>
        <a:solidFill>
          <a:srgbClr val="FCD0B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199862</xdr:colOff>
      <xdr:row>0</xdr:row>
      <xdr:rowOff>0</xdr:rowOff>
    </xdr:from>
    <xdr:to>
      <xdr:col>2</xdr:col>
      <xdr:colOff>257187</xdr:colOff>
      <xdr:row>3</xdr:row>
      <xdr:rowOff>15081</xdr:rowOff>
    </xdr:to>
    <xdr:sp macro="" textlink="">
      <xdr:nvSpPr>
        <xdr:cNvPr id="25" name="직사각형 2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Grp="1"/>
        </xdr:cNvSpPr>
      </xdr:nvSpPr>
      <xdr:spPr>
        <a:xfrm>
          <a:off x="1209512" y="0"/>
          <a:ext cx="57325" cy="329406"/>
        </a:xfrm>
        <a:prstGeom prst="rect">
          <a:avLst/>
        </a:prstGeom>
        <a:solidFill>
          <a:srgbClr val="FCCEB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252557</xdr:colOff>
      <xdr:row>0</xdr:row>
      <xdr:rowOff>0</xdr:rowOff>
    </xdr:from>
    <xdr:to>
      <xdr:col>2</xdr:col>
      <xdr:colOff>309882</xdr:colOff>
      <xdr:row>3</xdr:row>
      <xdr:rowOff>15081</xdr:rowOff>
    </xdr:to>
    <xdr:sp macro="" textlink="">
      <xdr:nvSpPr>
        <xdr:cNvPr id="26" name="직사각형 2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Grp="1"/>
        </xdr:cNvSpPr>
      </xdr:nvSpPr>
      <xdr:spPr>
        <a:xfrm>
          <a:off x="1262207" y="0"/>
          <a:ext cx="57325" cy="329406"/>
        </a:xfrm>
        <a:prstGeom prst="rect">
          <a:avLst/>
        </a:prstGeom>
        <a:solidFill>
          <a:srgbClr val="FCCDB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305252</xdr:colOff>
      <xdr:row>0</xdr:row>
      <xdr:rowOff>0</xdr:rowOff>
    </xdr:from>
    <xdr:to>
      <xdr:col>2</xdr:col>
      <xdr:colOff>362578</xdr:colOff>
      <xdr:row>3</xdr:row>
      <xdr:rowOff>15081</xdr:rowOff>
    </xdr:to>
    <xdr:sp macro="" textlink="">
      <xdr:nvSpPr>
        <xdr:cNvPr id="27" name="직사각형 3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Grp="1"/>
        </xdr:cNvSpPr>
      </xdr:nvSpPr>
      <xdr:spPr>
        <a:xfrm>
          <a:off x="1314902" y="0"/>
          <a:ext cx="57326" cy="329406"/>
        </a:xfrm>
        <a:prstGeom prst="rect">
          <a:avLst/>
        </a:prstGeom>
        <a:solidFill>
          <a:srgbClr val="FBCBB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357948</xdr:colOff>
      <xdr:row>0</xdr:row>
      <xdr:rowOff>0</xdr:rowOff>
    </xdr:from>
    <xdr:to>
      <xdr:col>2</xdr:col>
      <xdr:colOff>415273</xdr:colOff>
      <xdr:row>3</xdr:row>
      <xdr:rowOff>15081</xdr:rowOff>
    </xdr:to>
    <xdr:sp macro="" textlink="">
      <xdr:nvSpPr>
        <xdr:cNvPr id="28" name="직사각형 3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Grp="1"/>
        </xdr:cNvSpPr>
      </xdr:nvSpPr>
      <xdr:spPr>
        <a:xfrm>
          <a:off x="1367598" y="0"/>
          <a:ext cx="57325" cy="329406"/>
        </a:xfrm>
        <a:prstGeom prst="rect">
          <a:avLst/>
        </a:prstGeom>
        <a:solidFill>
          <a:srgbClr val="FBC9B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410642</xdr:colOff>
      <xdr:row>0</xdr:row>
      <xdr:rowOff>0</xdr:rowOff>
    </xdr:from>
    <xdr:to>
      <xdr:col>2</xdr:col>
      <xdr:colOff>467967</xdr:colOff>
      <xdr:row>3</xdr:row>
      <xdr:rowOff>15081</xdr:rowOff>
    </xdr:to>
    <xdr:sp macro="" textlink="">
      <xdr:nvSpPr>
        <xdr:cNvPr id="29" name="직사각형 3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Grp="1"/>
        </xdr:cNvSpPr>
      </xdr:nvSpPr>
      <xdr:spPr>
        <a:xfrm>
          <a:off x="1420292" y="0"/>
          <a:ext cx="57325" cy="329406"/>
        </a:xfrm>
        <a:prstGeom prst="rect">
          <a:avLst/>
        </a:prstGeom>
        <a:solidFill>
          <a:srgbClr val="FBC8B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463337</xdr:colOff>
      <xdr:row>0</xdr:row>
      <xdr:rowOff>0</xdr:rowOff>
    </xdr:from>
    <xdr:to>
      <xdr:col>2</xdr:col>
      <xdr:colOff>520663</xdr:colOff>
      <xdr:row>3</xdr:row>
      <xdr:rowOff>15081</xdr:rowOff>
    </xdr:to>
    <xdr:sp macro="" textlink="">
      <xdr:nvSpPr>
        <xdr:cNvPr id="30" name="직사각형 3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Grp="1"/>
        </xdr:cNvSpPr>
      </xdr:nvSpPr>
      <xdr:spPr>
        <a:xfrm>
          <a:off x="1472987" y="0"/>
          <a:ext cx="57326" cy="329406"/>
        </a:xfrm>
        <a:prstGeom prst="rect">
          <a:avLst/>
        </a:prstGeom>
        <a:solidFill>
          <a:srgbClr val="FBC6A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516034</xdr:colOff>
      <xdr:row>0</xdr:row>
      <xdr:rowOff>0</xdr:rowOff>
    </xdr:from>
    <xdr:to>
      <xdr:col>2</xdr:col>
      <xdr:colOff>573359</xdr:colOff>
      <xdr:row>3</xdr:row>
      <xdr:rowOff>15081</xdr:rowOff>
    </xdr:to>
    <xdr:sp macro="" textlink="">
      <xdr:nvSpPr>
        <xdr:cNvPr id="31" name="직사각형 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Grp="1"/>
        </xdr:cNvSpPr>
      </xdr:nvSpPr>
      <xdr:spPr>
        <a:xfrm>
          <a:off x="1525684" y="0"/>
          <a:ext cx="57325" cy="329406"/>
        </a:xfrm>
        <a:prstGeom prst="rect">
          <a:avLst/>
        </a:prstGeom>
        <a:solidFill>
          <a:srgbClr val="FBC5A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568728</xdr:colOff>
      <xdr:row>0</xdr:row>
      <xdr:rowOff>0</xdr:rowOff>
    </xdr:from>
    <xdr:to>
      <xdr:col>2</xdr:col>
      <xdr:colOff>626053</xdr:colOff>
      <xdr:row>3</xdr:row>
      <xdr:rowOff>15081</xdr:rowOff>
    </xdr:to>
    <xdr:sp macro="" textlink="">
      <xdr:nvSpPr>
        <xdr:cNvPr id="32" name="직사각형 3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Grp="1"/>
        </xdr:cNvSpPr>
      </xdr:nvSpPr>
      <xdr:spPr>
        <a:xfrm>
          <a:off x="1578378" y="0"/>
          <a:ext cx="57325" cy="329406"/>
        </a:xfrm>
        <a:prstGeom prst="rect">
          <a:avLst/>
        </a:prstGeom>
        <a:solidFill>
          <a:srgbClr val="FBC3A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621423</xdr:colOff>
      <xdr:row>0</xdr:row>
      <xdr:rowOff>0</xdr:rowOff>
    </xdr:from>
    <xdr:to>
      <xdr:col>2</xdr:col>
      <xdr:colOff>678749</xdr:colOff>
      <xdr:row>3</xdr:row>
      <xdr:rowOff>15081</xdr:rowOff>
    </xdr:to>
    <xdr:sp macro="" textlink="">
      <xdr:nvSpPr>
        <xdr:cNvPr id="33" name="직사각형 3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Grp="1"/>
        </xdr:cNvSpPr>
      </xdr:nvSpPr>
      <xdr:spPr>
        <a:xfrm>
          <a:off x="1631073" y="0"/>
          <a:ext cx="57326" cy="329406"/>
        </a:xfrm>
        <a:prstGeom prst="rect">
          <a:avLst/>
        </a:prstGeom>
        <a:solidFill>
          <a:srgbClr val="FBC1A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674119</xdr:colOff>
      <xdr:row>0</xdr:row>
      <xdr:rowOff>0</xdr:rowOff>
    </xdr:from>
    <xdr:to>
      <xdr:col>2</xdr:col>
      <xdr:colOff>731444</xdr:colOff>
      <xdr:row>3</xdr:row>
      <xdr:rowOff>15081</xdr:rowOff>
    </xdr:to>
    <xdr:sp macro="" textlink="">
      <xdr:nvSpPr>
        <xdr:cNvPr id="34" name="직사각형 3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Grp="1"/>
        </xdr:cNvSpPr>
      </xdr:nvSpPr>
      <xdr:spPr>
        <a:xfrm>
          <a:off x="1683769" y="0"/>
          <a:ext cx="57325" cy="329406"/>
        </a:xfrm>
        <a:prstGeom prst="rect">
          <a:avLst/>
        </a:prstGeom>
        <a:solidFill>
          <a:srgbClr val="FAC0A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726814</xdr:colOff>
      <xdr:row>0</xdr:row>
      <xdr:rowOff>0</xdr:rowOff>
    </xdr:from>
    <xdr:to>
      <xdr:col>2</xdr:col>
      <xdr:colOff>784139</xdr:colOff>
      <xdr:row>3</xdr:row>
      <xdr:rowOff>15081</xdr:rowOff>
    </xdr:to>
    <xdr:sp macro="" textlink="">
      <xdr:nvSpPr>
        <xdr:cNvPr id="35" name="직사각형 3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Grp="1"/>
        </xdr:cNvSpPr>
      </xdr:nvSpPr>
      <xdr:spPr>
        <a:xfrm>
          <a:off x="1736464" y="0"/>
          <a:ext cx="57325" cy="329406"/>
        </a:xfrm>
        <a:prstGeom prst="rect">
          <a:avLst/>
        </a:prstGeom>
        <a:solidFill>
          <a:srgbClr val="FABEA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779509</xdr:colOff>
      <xdr:row>0</xdr:row>
      <xdr:rowOff>0</xdr:rowOff>
    </xdr:from>
    <xdr:to>
      <xdr:col>2</xdr:col>
      <xdr:colOff>836835</xdr:colOff>
      <xdr:row>3</xdr:row>
      <xdr:rowOff>15081</xdr:rowOff>
    </xdr:to>
    <xdr:sp macro="" textlink="">
      <xdr:nvSpPr>
        <xdr:cNvPr id="36" name="직사각형 3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Grp="1"/>
        </xdr:cNvSpPr>
      </xdr:nvSpPr>
      <xdr:spPr>
        <a:xfrm>
          <a:off x="1789159" y="0"/>
          <a:ext cx="57326" cy="329406"/>
        </a:xfrm>
        <a:prstGeom prst="rect">
          <a:avLst/>
        </a:prstGeom>
        <a:solidFill>
          <a:srgbClr val="FABCA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832205</xdr:colOff>
      <xdr:row>0</xdr:row>
      <xdr:rowOff>0</xdr:rowOff>
    </xdr:from>
    <xdr:to>
      <xdr:col>3</xdr:col>
      <xdr:colOff>3705</xdr:colOff>
      <xdr:row>3</xdr:row>
      <xdr:rowOff>15081</xdr:rowOff>
    </xdr:to>
    <xdr:sp macro="" textlink="">
      <xdr:nvSpPr>
        <xdr:cNvPr id="37" name="직사각형 4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Grp="1"/>
        </xdr:cNvSpPr>
      </xdr:nvSpPr>
      <xdr:spPr>
        <a:xfrm>
          <a:off x="1841855" y="0"/>
          <a:ext cx="57325" cy="329406"/>
        </a:xfrm>
        <a:prstGeom prst="rect">
          <a:avLst/>
        </a:prstGeom>
        <a:solidFill>
          <a:srgbClr val="FABB9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884900</xdr:colOff>
      <xdr:row>0</xdr:row>
      <xdr:rowOff>0</xdr:rowOff>
    </xdr:from>
    <xdr:to>
      <xdr:col>3</xdr:col>
      <xdr:colOff>56400</xdr:colOff>
      <xdr:row>3</xdr:row>
      <xdr:rowOff>15081</xdr:rowOff>
    </xdr:to>
    <xdr:sp macro="" textlink="">
      <xdr:nvSpPr>
        <xdr:cNvPr id="38" name="직사각형 4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Grp="1"/>
        </xdr:cNvSpPr>
      </xdr:nvSpPr>
      <xdr:spPr>
        <a:xfrm>
          <a:off x="1894550" y="0"/>
          <a:ext cx="57325" cy="329406"/>
        </a:xfrm>
        <a:prstGeom prst="rect">
          <a:avLst/>
        </a:prstGeom>
        <a:solidFill>
          <a:srgbClr val="FAB99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51770</xdr:colOff>
      <xdr:row>0</xdr:row>
      <xdr:rowOff>0</xdr:rowOff>
    </xdr:from>
    <xdr:to>
      <xdr:col>3</xdr:col>
      <xdr:colOff>114056</xdr:colOff>
      <xdr:row>3</xdr:row>
      <xdr:rowOff>15081</xdr:rowOff>
    </xdr:to>
    <xdr:sp macro="" textlink="">
      <xdr:nvSpPr>
        <xdr:cNvPr id="39" name="직사각형 4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Grp="1"/>
        </xdr:cNvSpPr>
      </xdr:nvSpPr>
      <xdr:spPr>
        <a:xfrm>
          <a:off x="1947245" y="0"/>
          <a:ext cx="62286" cy="329406"/>
        </a:xfrm>
        <a:prstGeom prst="rect">
          <a:avLst/>
        </a:prstGeom>
        <a:solidFill>
          <a:srgbClr val="FAB79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109426</xdr:colOff>
      <xdr:row>0</xdr:row>
      <xdr:rowOff>0</xdr:rowOff>
    </xdr:from>
    <xdr:to>
      <xdr:col>3</xdr:col>
      <xdr:colOff>166751</xdr:colOff>
      <xdr:row>3</xdr:row>
      <xdr:rowOff>15081</xdr:rowOff>
    </xdr:to>
    <xdr:sp macro="" textlink="">
      <xdr:nvSpPr>
        <xdr:cNvPr id="40" name="직사각형 4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Grp="1"/>
        </xdr:cNvSpPr>
      </xdr:nvSpPr>
      <xdr:spPr>
        <a:xfrm>
          <a:off x="2004901" y="0"/>
          <a:ext cx="57325" cy="329406"/>
        </a:xfrm>
        <a:prstGeom prst="rect">
          <a:avLst/>
        </a:prstGeom>
        <a:solidFill>
          <a:srgbClr val="FAB69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162121</xdr:colOff>
      <xdr:row>0</xdr:row>
      <xdr:rowOff>0</xdr:rowOff>
    </xdr:from>
    <xdr:to>
      <xdr:col>3</xdr:col>
      <xdr:colOff>219446</xdr:colOff>
      <xdr:row>3</xdr:row>
      <xdr:rowOff>15081</xdr:rowOff>
    </xdr:to>
    <xdr:sp macro="" textlink="">
      <xdr:nvSpPr>
        <xdr:cNvPr id="41" name="직사각형 4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Grp="1"/>
        </xdr:cNvSpPr>
      </xdr:nvSpPr>
      <xdr:spPr>
        <a:xfrm>
          <a:off x="2057596" y="0"/>
          <a:ext cx="57325" cy="329406"/>
        </a:xfrm>
        <a:prstGeom prst="rect">
          <a:avLst/>
        </a:prstGeom>
        <a:solidFill>
          <a:srgbClr val="F9B49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214816</xdr:colOff>
      <xdr:row>0</xdr:row>
      <xdr:rowOff>0</xdr:rowOff>
    </xdr:from>
    <xdr:to>
      <xdr:col>3</xdr:col>
      <xdr:colOff>272142</xdr:colOff>
      <xdr:row>3</xdr:row>
      <xdr:rowOff>15081</xdr:rowOff>
    </xdr:to>
    <xdr:sp macro="" textlink="">
      <xdr:nvSpPr>
        <xdr:cNvPr id="42" name="직사각형 4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Grp="1"/>
        </xdr:cNvSpPr>
      </xdr:nvSpPr>
      <xdr:spPr>
        <a:xfrm>
          <a:off x="2110291" y="0"/>
          <a:ext cx="57326" cy="329406"/>
        </a:xfrm>
        <a:prstGeom prst="rect">
          <a:avLst/>
        </a:prstGeom>
        <a:solidFill>
          <a:srgbClr val="F9B39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267512</xdr:colOff>
      <xdr:row>0</xdr:row>
      <xdr:rowOff>0</xdr:rowOff>
    </xdr:from>
    <xdr:to>
      <xdr:col>3</xdr:col>
      <xdr:colOff>324837</xdr:colOff>
      <xdr:row>3</xdr:row>
      <xdr:rowOff>15081</xdr:rowOff>
    </xdr:to>
    <xdr:sp macro="" textlink="">
      <xdr:nvSpPr>
        <xdr:cNvPr id="43" name="직사각형 4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Grp="1"/>
        </xdr:cNvSpPr>
      </xdr:nvSpPr>
      <xdr:spPr>
        <a:xfrm>
          <a:off x="2162987" y="0"/>
          <a:ext cx="57325" cy="329406"/>
        </a:xfrm>
        <a:prstGeom prst="rect">
          <a:avLst/>
        </a:prstGeom>
        <a:solidFill>
          <a:srgbClr val="F9B19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320207</xdr:colOff>
      <xdr:row>0</xdr:row>
      <xdr:rowOff>0</xdr:rowOff>
    </xdr:from>
    <xdr:to>
      <xdr:col>3</xdr:col>
      <xdr:colOff>377532</xdr:colOff>
      <xdr:row>3</xdr:row>
      <xdr:rowOff>15081</xdr:rowOff>
    </xdr:to>
    <xdr:sp macro="" textlink="">
      <xdr:nvSpPr>
        <xdr:cNvPr id="44" name="직사각형 4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Grp="1"/>
        </xdr:cNvSpPr>
      </xdr:nvSpPr>
      <xdr:spPr>
        <a:xfrm>
          <a:off x="2215682" y="0"/>
          <a:ext cx="57325" cy="329406"/>
        </a:xfrm>
        <a:prstGeom prst="rect">
          <a:avLst/>
        </a:prstGeom>
        <a:solidFill>
          <a:srgbClr val="F9AF8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372902</xdr:colOff>
      <xdr:row>0</xdr:row>
      <xdr:rowOff>0</xdr:rowOff>
    </xdr:from>
    <xdr:to>
      <xdr:col>3</xdr:col>
      <xdr:colOff>430228</xdr:colOff>
      <xdr:row>3</xdr:row>
      <xdr:rowOff>15081</xdr:rowOff>
    </xdr:to>
    <xdr:sp macro="" textlink="">
      <xdr:nvSpPr>
        <xdr:cNvPr id="45" name="직사각형 4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Grp="1"/>
        </xdr:cNvSpPr>
      </xdr:nvSpPr>
      <xdr:spPr>
        <a:xfrm>
          <a:off x="2268377" y="0"/>
          <a:ext cx="57326" cy="329406"/>
        </a:xfrm>
        <a:prstGeom prst="rect">
          <a:avLst/>
        </a:prstGeom>
        <a:solidFill>
          <a:srgbClr val="F9AE8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425598</xdr:colOff>
      <xdr:row>0</xdr:row>
      <xdr:rowOff>0</xdr:rowOff>
    </xdr:from>
    <xdr:to>
      <xdr:col>3</xdr:col>
      <xdr:colOff>482923</xdr:colOff>
      <xdr:row>3</xdr:row>
      <xdr:rowOff>15081</xdr:rowOff>
    </xdr:to>
    <xdr:sp macro="" textlink="">
      <xdr:nvSpPr>
        <xdr:cNvPr id="46" name="직사각형 4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Grp="1"/>
        </xdr:cNvSpPr>
      </xdr:nvSpPr>
      <xdr:spPr>
        <a:xfrm>
          <a:off x="2321073" y="0"/>
          <a:ext cx="57325" cy="329406"/>
        </a:xfrm>
        <a:prstGeom prst="rect">
          <a:avLst/>
        </a:prstGeom>
        <a:solidFill>
          <a:srgbClr val="F9AC8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478293</xdr:colOff>
      <xdr:row>0</xdr:row>
      <xdr:rowOff>0</xdr:rowOff>
    </xdr:from>
    <xdr:to>
      <xdr:col>3</xdr:col>
      <xdr:colOff>535618</xdr:colOff>
      <xdr:row>3</xdr:row>
      <xdr:rowOff>15081</xdr:rowOff>
    </xdr:to>
    <xdr:sp macro="" textlink="">
      <xdr:nvSpPr>
        <xdr:cNvPr id="47" name="직사각형 5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Grp="1"/>
        </xdr:cNvSpPr>
      </xdr:nvSpPr>
      <xdr:spPr>
        <a:xfrm>
          <a:off x="2373768" y="0"/>
          <a:ext cx="57325" cy="329406"/>
        </a:xfrm>
        <a:prstGeom prst="rect">
          <a:avLst/>
        </a:prstGeom>
        <a:solidFill>
          <a:srgbClr val="F8AA8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530988</xdr:colOff>
      <xdr:row>0</xdr:row>
      <xdr:rowOff>0</xdr:rowOff>
    </xdr:from>
    <xdr:to>
      <xdr:col>3</xdr:col>
      <xdr:colOff>588314</xdr:colOff>
      <xdr:row>3</xdr:row>
      <xdr:rowOff>15081</xdr:rowOff>
    </xdr:to>
    <xdr:sp macro="" textlink="">
      <xdr:nvSpPr>
        <xdr:cNvPr id="48" name="직사각형 5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Grp="1"/>
        </xdr:cNvSpPr>
      </xdr:nvSpPr>
      <xdr:spPr>
        <a:xfrm>
          <a:off x="2426463" y="0"/>
          <a:ext cx="57326" cy="329406"/>
        </a:xfrm>
        <a:prstGeom prst="rect">
          <a:avLst/>
        </a:prstGeom>
        <a:solidFill>
          <a:srgbClr val="F8A98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583684</xdr:colOff>
      <xdr:row>0</xdr:row>
      <xdr:rowOff>0</xdr:rowOff>
    </xdr:from>
    <xdr:to>
      <xdr:col>3</xdr:col>
      <xdr:colOff>641009</xdr:colOff>
      <xdr:row>3</xdr:row>
      <xdr:rowOff>15081</xdr:rowOff>
    </xdr:to>
    <xdr:sp macro="" textlink="">
      <xdr:nvSpPr>
        <xdr:cNvPr id="49" name="직사각형 5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Grp="1"/>
        </xdr:cNvSpPr>
      </xdr:nvSpPr>
      <xdr:spPr>
        <a:xfrm>
          <a:off x="2479159" y="0"/>
          <a:ext cx="57325" cy="329406"/>
        </a:xfrm>
        <a:prstGeom prst="rect">
          <a:avLst/>
        </a:prstGeom>
        <a:solidFill>
          <a:srgbClr val="F8A78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636379</xdr:colOff>
      <xdr:row>0</xdr:row>
      <xdr:rowOff>0</xdr:rowOff>
    </xdr:from>
    <xdr:to>
      <xdr:col>3</xdr:col>
      <xdr:colOff>693704</xdr:colOff>
      <xdr:row>3</xdr:row>
      <xdr:rowOff>15081</xdr:rowOff>
    </xdr:to>
    <xdr:sp macro="" textlink="">
      <xdr:nvSpPr>
        <xdr:cNvPr id="50" name="직사각형 5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Grp="1"/>
        </xdr:cNvSpPr>
      </xdr:nvSpPr>
      <xdr:spPr>
        <a:xfrm>
          <a:off x="2531854" y="0"/>
          <a:ext cx="57325" cy="329406"/>
        </a:xfrm>
        <a:prstGeom prst="rect">
          <a:avLst/>
        </a:prstGeom>
        <a:solidFill>
          <a:srgbClr val="F8A58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689074</xdr:colOff>
      <xdr:row>0</xdr:row>
      <xdr:rowOff>0</xdr:rowOff>
    </xdr:from>
    <xdr:to>
      <xdr:col>3</xdr:col>
      <xdr:colOff>746400</xdr:colOff>
      <xdr:row>3</xdr:row>
      <xdr:rowOff>15081</xdr:rowOff>
    </xdr:to>
    <xdr:sp macro="" textlink="">
      <xdr:nvSpPr>
        <xdr:cNvPr id="51" name="직사각형 5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Grp="1"/>
        </xdr:cNvSpPr>
      </xdr:nvSpPr>
      <xdr:spPr>
        <a:xfrm>
          <a:off x="2584549" y="0"/>
          <a:ext cx="57326" cy="329406"/>
        </a:xfrm>
        <a:prstGeom prst="rect">
          <a:avLst/>
        </a:prstGeom>
        <a:solidFill>
          <a:srgbClr val="F8A47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741770</xdr:colOff>
      <xdr:row>0</xdr:row>
      <xdr:rowOff>0</xdr:rowOff>
    </xdr:from>
    <xdr:to>
      <xdr:col>3</xdr:col>
      <xdr:colOff>799095</xdr:colOff>
      <xdr:row>3</xdr:row>
      <xdr:rowOff>15081</xdr:rowOff>
    </xdr:to>
    <xdr:sp macro="" textlink="">
      <xdr:nvSpPr>
        <xdr:cNvPr id="52" name="직사각형 5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Grp="1"/>
        </xdr:cNvSpPr>
      </xdr:nvSpPr>
      <xdr:spPr>
        <a:xfrm>
          <a:off x="2637245" y="0"/>
          <a:ext cx="57325" cy="329406"/>
        </a:xfrm>
        <a:prstGeom prst="rect">
          <a:avLst/>
        </a:prstGeom>
        <a:solidFill>
          <a:srgbClr val="F8A27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794465</xdr:colOff>
      <xdr:row>0</xdr:row>
      <xdr:rowOff>0</xdr:rowOff>
    </xdr:from>
    <xdr:to>
      <xdr:col>3</xdr:col>
      <xdr:colOff>851790</xdr:colOff>
      <xdr:row>3</xdr:row>
      <xdr:rowOff>15081</xdr:rowOff>
    </xdr:to>
    <xdr:sp macro="" textlink="">
      <xdr:nvSpPr>
        <xdr:cNvPr id="53" name="직사각형 5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Grp="1"/>
        </xdr:cNvSpPr>
      </xdr:nvSpPr>
      <xdr:spPr>
        <a:xfrm>
          <a:off x="2689940" y="0"/>
          <a:ext cx="57325" cy="329406"/>
        </a:xfrm>
        <a:prstGeom prst="rect">
          <a:avLst/>
        </a:prstGeom>
        <a:solidFill>
          <a:srgbClr val="F8A07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847160</xdr:colOff>
      <xdr:row>0</xdr:row>
      <xdr:rowOff>0</xdr:rowOff>
    </xdr:from>
    <xdr:to>
      <xdr:col>4</xdr:col>
      <xdr:colOff>18661</xdr:colOff>
      <xdr:row>3</xdr:row>
      <xdr:rowOff>15081</xdr:rowOff>
    </xdr:to>
    <xdr:sp macro="" textlink="">
      <xdr:nvSpPr>
        <xdr:cNvPr id="54" name="직사각형 5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Grp="1"/>
        </xdr:cNvSpPr>
      </xdr:nvSpPr>
      <xdr:spPr>
        <a:xfrm>
          <a:off x="2742635" y="0"/>
          <a:ext cx="57326" cy="329406"/>
        </a:xfrm>
        <a:prstGeom prst="rect">
          <a:avLst/>
        </a:prstGeom>
        <a:solidFill>
          <a:srgbClr val="F79F7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14031</xdr:colOff>
      <xdr:row>0</xdr:row>
      <xdr:rowOff>0</xdr:rowOff>
    </xdr:from>
    <xdr:to>
      <xdr:col>4</xdr:col>
      <xdr:colOff>71356</xdr:colOff>
      <xdr:row>3</xdr:row>
      <xdr:rowOff>15081</xdr:rowOff>
    </xdr:to>
    <xdr:sp macro="" textlink="">
      <xdr:nvSpPr>
        <xdr:cNvPr id="55" name="직사각형 58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Grp="1"/>
        </xdr:cNvSpPr>
      </xdr:nvSpPr>
      <xdr:spPr>
        <a:xfrm>
          <a:off x="2795331" y="0"/>
          <a:ext cx="57325" cy="329406"/>
        </a:xfrm>
        <a:prstGeom prst="rect">
          <a:avLst/>
        </a:prstGeom>
        <a:solidFill>
          <a:srgbClr val="F79D7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66725</xdr:colOff>
      <xdr:row>0</xdr:row>
      <xdr:rowOff>0</xdr:rowOff>
    </xdr:from>
    <xdr:to>
      <xdr:col>4</xdr:col>
      <xdr:colOff>129011</xdr:colOff>
      <xdr:row>3</xdr:row>
      <xdr:rowOff>15081</xdr:rowOff>
    </xdr:to>
    <xdr:sp macro="" textlink="">
      <xdr:nvSpPr>
        <xdr:cNvPr id="56" name="직사각형 5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Grp="1"/>
        </xdr:cNvSpPr>
      </xdr:nvSpPr>
      <xdr:spPr>
        <a:xfrm>
          <a:off x="2848025" y="0"/>
          <a:ext cx="62286" cy="329406"/>
        </a:xfrm>
        <a:prstGeom prst="rect">
          <a:avLst/>
        </a:prstGeom>
        <a:solidFill>
          <a:srgbClr val="F79C7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124382</xdr:colOff>
      <xdr:row>0</xdr:row>
      <xdr:rowOff>0</xdr:rowOff>
    </xdr:from>
    <xdr:to>
      <xdr:col>4</xdr:col>
      <xdr:colOff>181708</xdr:colOff>
      <xdr:row>3</xdr:row>
      <xdr:rowOff>15081</xdr:rowOff>
    </xdr:to>
    <xdr:sp macro="" textlink="">
      <xdr:nvSpPr>
        <xdr:cNvPr id="57" name="직사각형 6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Grp="1"/>
        </xdr:cNvSpPr>
      </xdr:nvSpPr>
      <xdr:spPr>
        <a:xfrm>
          <a:off x="2905682" y="0"/>
          <a:ext cx="57326" cy="329406"/>
        </a:xfrm>
        <a:prstGeom prst="rect">
          <a:avLst/>
        </a:prstGeom>
        <a:solidFill>
          <a:srgbClr val="F79A7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177078</xdr:colOff>
      <xdr:row>0</xdr:row>
      <xdr:rowOff>0</xdr:rowOff>
    </xdr:from>
    <xdr:to>
      <xdr:col>4</xdr:col>
      <xdr:colOff>234403</xdr:colOff>
      <xdr:row>3</xdr:row>
      <xdr:rowOff>15081</xdr:rowOff>
    </xdr:to>
    <xdr:sp macro="" textlink="">
      <xdr:nvSpPr>
        <xdr:cNvPr id="58" name="직사각형 6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Grp="1"/>
        </xdr:cNvSpPr>
      </xdr:nvSpPr>
      <xdr:spPr>
        <a:xfrm>
          <a:off x="2958378" y="0"/>
          <a:ext cx="57325" cy="329406"/>
        </a:xfrm>
        <a:prstGeom prst="rect">
          <a:avLst/>
        </a:prstGeom>
        <a:solidFill>
          <a:srgbClr val="F7986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229773</xdr:colOff>
      <xdr:row>0</xdr:row>
      <xdr:rowOff>0</xdr:rowOff>
    </xdr:from>
    <xdr:to>
      <xdr:col>4</xdr:col>
      <xdr:colOff>287098</xdr:colOff>
      <xdr:row>3</xdr:row>
      <xdr:rowOff>15081</xdr:rowOff>
    </xdr:to>
    <xdr:sp macro="" textlink="">
      <xdr:nvSpPr>
        <xdr:cNvPr id="59" name="직사각형 6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Grp="1"/>
        </xdr:cNvSpPr>
      </xdr:nvSpPr>
      <xdr:spPr>
        <a:xfrm>
          <a:off x="3011073" y="0"/>
          <a:ext cx="57325" cy="329406"/>
        </a:xfrm>
        <a:prstGeom prst="rect">
          <a:avLst/>
        </a:prstGeom>
        <a:solidFill>
          <a:srgbClr val="F7976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282468</xdr:colOff>
      <xdr:row>0</xdr:row>
      <xdr:rowOff>0</xdr:rowOff>
    </xdr:from>
    <xdr:to>
      <xdr:col>4</xdr:col>
      <xdr:colOff>339794</xdr:colOff>
      <xdr:row>3</xdr:row>
      <xdr:rowOff>15081</xdr:rowOff>
    </xdr:to>
    <xdr:sp macro="" textlink="">
      <xdr:nvSpPr>
        <xdr:cNvPr id="60" name="직사각형 6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Grp="1"/>
        </xdr:cNvSpPr>
      </xdr:nvSpPr>
      <xdr:spPr>
        <a:xfrm>
          <a:off x="3063768" y="0"/>
          <a:ext cx="57326" cy="329406"/>
        </a:xfrm>
        <a:prstGeom prst="rect">
          <a:avLst/>
        </a:prstGeom>
        <a:solidFill>
          <a:srgbClr val="F7956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335164</xdr:colOff>
      <xdr:row>0</xdr:row>
      <xdr:rowOff>0</xdr:rowOff>
    </xdr:from>
    <xdr:to>
      <xdr:col>4</xdr:col>
      <xdr:colOff>392489</xdr:colOff>
      <xdr:row>3</xdr:row>
      <xdr:rowOff>15081</xdr:rowOff>
    </xdr:to>
    <xdr:sp macro="" textlink="">
      <xdr:nvSpPr>
        <xdr:cNvPr id="61" name="직사각형 6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Grp="1"/>
        </xdr:cNvSpPr>
      </xdr:nvSpPr>
      <xdr:spPr>
        <a:xfrm>
          <a:off x="3116464" y="0"/>
          <a:ext cx="57325" cy="329406"/>
        </a:xfrm>
        <a:prstGeom prst="rect">
          <a:avLst/>
        </a:prstGeom>
        <a:solidFill>
          <a:srgbClr val="F6936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387858</xdr:colOff>
      <xdr:row>0</xdr:row>
      <xdr:rowOff>0</xdr:rowOff>
    </xdr:from>
    <xdr:to>
      <xdr:col>4</xdr:col>
      <xdr:colOff>445183</xdr:colOff>
      <xdr:row>3</xdr:row>
      <xdr:rowOff>15081</xdr:rowOff>
    </xdr:to>
    <xdr:sp macro="" textlink="">
      <xdr:nvSpPr>
        <xdr:cNvPr id="62" name="직사각형 6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Grp="1"/>
        </xdr:cNvSpPr>
      </xdr:nvSpPr>
      <xdr:spPr>
        <a:xfrm>
          <a:off x="3169158" y="0"/>
          <a:ext cx="57325" cy="329406"/>
        </a:xfrm>
        <a:prstGeom prst="rect">
          <a:avLst/>
        </a:prstGeom>
        <a:solidFill>
          <a:srgbClr val="F6926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440554</xdr:colOff>
      <xdr:row>0</xdr:row>
      <xdr:rowOff>0</xdr:rowOff>
    </xdr:from>
    <xdr:to>
      <xdr:col>4</xdr:col>
      <xdr:colOff>497880</xdr:colOff>
      <xdr:row>3</xdr:row>
      <xdr:rowOff>15081</xdr:rowOff>
    </xdr:to>
    <xdr:sp macro="" textlink="">
      <xdr:nvSpPr>
        <xdr:cNvPr id="63" name="직사각형 6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Grp="1"/>
        </xdr:cNvSpPr>
      </xdr:nvSpPr>
      <xdr:spPr>
        <a:xfrm>
          <a:off x="3221854" y="0"/>
          <a:ext cx="57326" cy="329406"/>
        </a:xfrm>
        <a:prstGeom prst="rect">
          <a:avLst/>
        </a:prstGeom>
        <a:solidFill>
          <a:srgbClr val="F6906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493249</xdr:colOff>
      <xdr:row>0</xdr:row>
      <xdr:rowOff>0</xdr:rowOff>
    </xdr:from>
    <xdr:to>
      <xdr:col>4</xdr:col>
      <xdr:colOff>550574</xdr:colOff>
      <xdr:row>3</xdr:row>
      <xdr:rowOff>15081</xdr:rowOff>
    </xdr:to>
    <xdr:sp macro="" textlink="">
      <xdr:nvSpPr>
        <xdr:cNvPr id="64" name="직사각형 6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Grp="1"/>
        </xdr:cNvSpPr>
      </xdr:nvSpPr>
      <xdr:spPr>
        <a:xfrm>
          <a:off x="3274549" y="0"/>
          <a:ext cx="57325" cy="329406"/>
        </a:xfrm>
        <a:prstGeom prst="rect">
          <a:avLst/>
        </a:prstGeom>
        <a:solidFill>
          <a:srgbClr val="F68E6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545944</xdr:colOff>
      <xdr:row>0</xdr:row>
      <xdr:rowOff>0</xdr:rowOff>
    </xdr:from>
    <xdr:to>
      <xdr:col>4</xdr:col>
      <xdr:colOff>603269</xdr:colOff>
      <xdr:row>3</xdr:row>
      <xdr:rowOff>15081</xdr:rowOff>
    </xdr:to>
    <xdr:sp macro="" textlink="">
      <xdr:nvSpPr>
        <xdr:cNvPr id="65" name="직사각형 6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Grp="1"/>
        </xdr:cNvSpPr>
      </xdr:nvSpPr>
      <xdr:spPr>
        <a:xfrm>
          <a:off x="3327244" y="0"/>
          <a:ext cx="57325" cy="329406"/>
        </a:xfrm>
        <a:prstGeom prst="rect">
          <a:avLst/>
        </a:prstGeom>
        <a:solidFill>
          <a:srgbClr val="F68D5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598639</xdr:colOff>
      <xdr:row>0</xdr:row>
      <xdr:rowOff>0</xdr:rowOff>
    </xdr:from>
    <xdr:to>
      <xdr:col>4</xdr:col>
      <xdr:colOff>655965</xdr:colOff>
      <xdr:row>3</xdr:row>
      <xdr:rowOff>15081</xdr:rowOff>
    </xdr:to>
    <xdr:sp macro="" textlink="">
      <xdr:nvSpPr>
        <xdr:cNvPr id="66" name="직사각형 6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Grp="1"/>
        </xdr:cNvSpPr>
      </xdr:nvSpPr>
      <xdr:spPr>
        <a:xfrm>
          <a:off x="3379939" y="0"/>
          <a:ext cx="57326" cy="329406"/>
        </a:xfrm>
        <a:prstGeom prst="rect">
          <a:avLst/>
        </a:prstGeom>
        <a:solidFill>
          <a:srgbClr val="F68B5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651335</xdr:colOff>
      <xdr:row>0</xdr:row>
      <xdr:rowOff>0</xdr:rowOff>
    </xdr:from>
    <xdr:to>
      <xdr:col>4</xdr:col>
      <xdr:colOff>708660</xdr:colOff>
      <xdr:row>3</xdr:row>
      <xdr:rowOff>15081</xdr:rowOff>
    </xdr:to>
    <xdr:sp macro="" textlink="">
      <xdr:nvSpPr>
        <xdr:cNvPr id="67" name="직사각형 7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Grp="1"/>
        </xdr:cNvSpPr>
      </xdr:nvSpPr>
      <xdr:spPr>
        <a:xfrm>
          <a:off x="3432635" y="0"/>
          <a:ext cx="57325" cy="329406"/>
        </a:xfrm>
        <a:prstGeom prst="rect">
          <a:avLst/>
        </a:prstGeom>
        <a:solidFill>
          <a:srgbClr val="F68A5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704030</xdr:colOff>
      <xdr:row>0</xdr:row>
      <xdr:rowOff>0</xdr:rowOff>
    </xdr:from>
    <xdr:to>
      <xdr:col>4</xdr:col>
      <xdr:colOff>761355</xdr:colOff>
      <xdr:row>3</xdr:row>
      <xdr:rowOff>15081</xdr:rowOff>
    </xdr:to>
    <xdr:sp macro="" textlink="">
      <xdr:nvSpPr>
        <xdr:cNvPr id="68" name="직사각형 7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Grp="1"/>
        </xdr:cNvSpPr>
      </xdr:nvSpPr>
      <xdr:spPr>
        <a:xfrm>
          <a:off x="3485330" y="0"/>
          <a:ext cx="57325" cy="329406"/>
        </a:xfrm>
        <a:prstGeom prst="rect">
          <a:avLst/>
        </a:prstGeom>
        <a:solidFill>
          <a:srgbClr val="F5885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756725</xdr:colOff>
      <xdr:row>0</xdr:row>
      <xdr:rowOff>0</xdr:rowOff>
    </xdr:from>
    <xdr:to>
      <xdr:col>4</xdr:col>
      <xdr:colOff>814051</xdr:colOff>
      <xdr:row>3</xdr:row>
      <xdr:rowOff>15081</xdr:rowOff>
    </xdr:to>
    <xdr:sp macro="" textlink="">
      <xdr:nvSpPr>
        <xdr:cNvPr id="69" name="직사각형 7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Grp="1"/>
        </xdr:cNvSpPr>
      </xdr:nvSpPr>
      <xdr:spPr>
        <a:xfrm>
          <a:off x="3538025" y="0"/>
          <a:ext cx="57326" cy="329406"/>
        </a:xfrm>
        <a:prstGeom prst="rect">
          <a:avLst/>
        </a:prstGeom>
        <a:solidFill>
          <a:srgbClr val="F5865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809421</xdr:colOff>
      <xdr:row>0</xdr:row>
      <xdr:rowOff>0</xdr:rowOff>
    </xdr:from>
    <xdr:to>
      <xdr:col>4</xdr:col>
      <xdr:colOff>866746</xdr:colOff>
      <xdr:row>3</xdr:row>
      <xdr:rowOff>15081</xdr:rowOff>
    </xdr:to>
    <xdr:sp macro="" textlink="">
      <xdr:nvSpPr>
        <xdr:cNvPr id="70" name="직사각형 7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Grp="1"/>
        </xdr:cNvSpPr>
      </xdr:nvSpPr>
      <xdr:spPr>
        <a:xfrm>
          <a:off x="3590721" y="0"/>
          <a:ext cx="57325" cy="329406"/>
        </a:xfrm>
        <a:prstGeom prst="rect">
          <a:avLst/>
        </a:prstGeom>
        <a:solidFill>
          <a:srgbClr val="F5855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862116</xdr:colOff>
      <xdr:row>0</xdr:row>
      <xdr:rowOff>0</xdr:rowOff>
    </xdr:from>
    <xdr:to>
      <xdr:col>5</xdr:col>
      <xdr:colOff>33617</xdr:colOff>
      <xdr:row>3</xdr:row>
      <xdr:rowOff>15081</xdr:rowOff>
    </xdr:to>
    <xdr:sp macro="" textlink="">
      <xdr:nvSpPr>
        <xdr:cNvPr id="71" name="직사각형 7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Grp="1"/>
        </xdr:cNvSpPr>
      </xdr:nvSpPr>
      <xdr:spPr>
        <a:xfrm>
          <a:off x="3643416" y="0"/>
          <a:ext cx="57326" cy="329406"/>
        </a:xfrm>
        <a:prstGeom prst="rect">
          <a:avLst/>
        </a:prstGeom>
        <a:solidFill>
          <a:srgbClr val="F5835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28986</xdr:colOff>
      <xdr:row>0</xdr:row>
      <xdr:rowOff>0</xdr:rowOff>
    </xdr:from>
    <xdr:to>
      <xdr:col>5</xdr:col>
      <xdr:colOff>86312</xdr:colOff>
      <xdr:row>3</xdr:row>
      <xdr:rowOff>15081</xdr:rowOff>
    </xdr:to>
    <xdr:sp macro="" textlink="">
      <xdr:nvSpPr>
        <xdr:cNvPr id="72" name="직사각형 7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Grp="1"/>
        </xdr:cNvSpPr>
      </xdr:nvSpPr>
      <xdr:spPr>
        <a:xfrm>
          <a:off x="3696111" y="0"/>
          <a:ext cx="57326" cy="329406"/>
        </a:xfrm>
        <a:prstGeom prst="rect">
          <a:avLst/>
        </a:prstGeom>
        <a:solidFill>
          <a:srgbClr val="F5814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81682</xdr:colOff>
      <xdr:row>0</xdr:row>
      <xdr:rowOff>0</xdr:rowOff>
    </xdr:from>
    <xdr:to>
      <xdr:col>5</xdr:col>
      <xdr:colOff>139007</xdr:colOff>
      <xdr:row>3</xdr:row>
      <xdr:rowOff>15081</xdr:rowOff>
    </xdr:to>
    <xdr:sp macro="" textlink="">
      <xdr:nvSpPr>
        <xdr:cNvPr id="73" name="직사각형 7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Grp="1"/>
        </xdr:cNvSpPr>
      </xdr:nvSpPr>
      <xdr:spPr>
        <a:xfrm>
          <a:off x="3748807" y="0"/>
          <a:ext cx="57325" cy="329406"/>
        </a:xfrm>
        <a:prstGeom prst="rect">
          <a:avLst/>
        </a:prstGeom>
        <a:solidFill>
          <a:srgbClr val="F5804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134377</xdr:colOff>
      <xdr:row>0</xdr:row>
      <xdr:rowOff>0</xdr:rowOff>
    </xdr:from>
    <xdr:to>
      <xdr:col>5</xdr:col>
      <xdr:colOff>196662</xdr:colOff>
      <xdr:row>3</xdr:row>
      <xdr:rowOff>15081</xdr:rowOff>
    </xdr:to>
    <xdr:sp macro="" textlink="">
      <xdr:nvSpPr>
        <xdr:cNvPr id="74" name="직사각형 7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Grp="1"/>
        </xdr:cNvSpPr>
      </xdr:nvSpPr>
      <xdr:spPr>
        <a:xfrm>
          <a:off x="3801502" y="0"/>
          <a:ext cx="62285" cy="329406"/>
        </a:xfrm>
        <a:prstGeom prst="rect">
          <a:avLst/>
        </a:prstGeom>
        <a:solidFill>
          <a:srgbClr val="F57E4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192032</xdr:colOff>
      <xdr:row>0</xdr:row>
      <xdr:rowOff>0</xdr:rowOff>
    </xdr:from>
    <xdr:to>
      <xdr:col>5</xdr:col>
      <xdr:colOff>249358</xdr:colOff>
      <xdr:row>3</xdr:row>
      <xdr:rowOff>15081</xdr:rowOff>
    </xdr:to>
    <xdr:sp macro="" textlink="">
      <xdr:nvSpPr>
        <xdr:cNvPr id="75" name="직사각형 78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Grp="1"/>
        </xdr:cNvSpPr>
      </xdr:nvSpPr>
      <xdr:spPr>
        <a:xfrm>
          <a:off x="3859157" y="0"/>
          <a:ext cx="57326" cy="329406"/>
        </a:xfrm>
        <a:prstGeom prst="rect">
          <a:avLst/>
        </a:prstGeom>
        <a:solidFill>
          <a:srgbClr val="F47C4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244728</xdr:colOff>
      <xdr:row>0</xdr:row>
      <xdr:rowOff>0</xdr:rowOff>
    </xdr:from>
    <xdr:to>
      <xdr:col>5</xdr:col>
      <xdr:colOff>302053</xdr:colOff>
      <xdr:row>3</xdr:row>
      <xdr:rowOff>15081</xdr:rowOff>
    </xdr:to>
    <xdr:sp macro="" textlink="">
      <xdr:nvSpPr>
        <xdr:cNvPr id="76" name="직사각형 7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Grp="1"/>
        </xdr:cNvSpPr>
      </xdr:nvSpPr>
      <xdr:spPr>
        <a:xfrm>
          <a:off x="3911853" y="0"/>
          <a:ext cx="57325" cy="329406"/>
        </a:xfrm>
        <a:prstGeom prst="rect">
          <a:avLst/>
        </a:prstGeom>
        <a:solidFill>
          <a:srgbClr val="F47B4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297423</xdr:colOff>
      <xdr:row>0</xdr:row>
      <xdr:rowOff>0</xdr:rowOff>
    </xdr:from>
    <xdr:to>
      <xdr:col>5</xdr:col>
      <xdr:colOff>354748</xdr:colOff>
      <xdr:row>3</xdr:row>
      <xdr:rowOff>15081</xdr:rowOff>
    </xdr:to>
    <xdr:sp macro="" textlink="">
      <xdr:nvSpPr>
        <xdr:cNvPr id="77" name="직사각형 8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Grp="1"/>
        </xdr:cNvSpPr>
      </xdr:nvSpPr>
      <xdr:spPr>
        <a:xfrm>
          <a:off x="3964548" y="0"/>
          <a:ext cx="57325" cy="329406"/>
        </a:xfrm>
        <a:prstGeom prst="rect">
          <a:avLst/>
        </a:prstGeom>
        <a:solidFill>
          <a:srgbClr val="F4794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350118</xdr:colOff>
      <xdr:row>0</xdr:row>
      <xdr:rowOff>0</xdr:rowOff>
    </xdr:from>
    <xdr:to>
      <xdr:col>5</xdr:col>
      <xdr:colOff>407444</xdr:colOff>
      <xdr:row>3</xdr:row>
      <xdr:rowOff>15081</xdr:rowOff>
    </xdr:to>
    <xdr:sp macro="" textlink="">
      <xdr:nvSpPr>
        <xdr:cNvPr id="78" name="직사각형 8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Grp="1"/>
        </xdr:cNvSpPr>
      </xdr:nvSpPr>
      <xdr:spPr>
        <a:xfrm>
          <a:off x="4017243" y="0"/>
          <a:ext cx="57326" cy="329406"/>
        </a:xfrm>
        <a:prstGeom prst="rect">
          <a:avLst/>
        </a:prstGeom>
        <a:solidFill>
          <a:srgbClr val="F4784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402814</xdr:colOff>
      <xdr:row>0</xdr:row>
      <xdr:rowOff>0</xdr:rowOff>
    </xdr:from>
    <xdr:to>
      <xdr:col>5</xdr:col>
      <xdr:colOff>460139</xdr:colOff>
      <xdr:row>3</xdr:row>
      <xdr:rowOff>15081</xdr:rowOff>
    </xdr:to>
    <xdr:sp macro="" textlink="">
      <xdr:nvSpPr>
        <xdr:cNvPr id="79" name="직사각형 8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Grp="1"/>
        </xdr:cNvSpPr>
      </xdr:nvSpPr>
      <xdr:spPr>
        <a:xfrm>
          <a:off x="4069939" y="0"/>
          <a:ext cx="57325" cy="329406"/>
        </a:xfrm>
        <a:prstGeom prst="rect">
          <a:avLst/>
        </a:prstGeom>
        <a:solidFill>
          <a:srgbClr val="F4763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455509</xdr:colOff>
      <xdr:row>0</xdr:row>
      <xdr:rowOff>0</xdr:rowOff>
    </xdr:from>
    <xdr:to>
      <xdr:col>5</xdr:col>
      <xdr:colOff>512835</xdr:colOff>
      <xdr:row>3</xdr:row>
      <xdr:rowOff>15081</xdr:rowOff>
    </xdr:to>
    <xdr:sp macro="" textlink="">
      <xdr:nvSpPr>
        <xdr:cNvPr id="80" name="직사각형 8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Grp="1"/>
        </xdr:cNvSpPr>
      </xdr:nvSpPr>
      <xdr:spPr>
        <a:xfrm>
          <a:off x="4122634" y="0"/>
          <a:ext cx="57326" cy="329406"/>
        </a:xfrm>
        <a:prstGeom prst="rect">
          <a:avLst/>
        </a:prstGeom>
        <a:solidFill>
          <a:srgbClr val="F4743B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508204</xdr:colOff>
      <xdr:row>0</xdr:row>
      <xdr:rowOff>0</xdr:rowOff>
    </xdr:from>
    <xdr:to>
      <xdr:col>5</xdr:col>
      <xdr:colOff>565530</xdr:colOff>
      <xdr:row>3</xdr:row>
      <xdr:rowOff>15081</xdr:rowOff>
    </xdr:to>
    <xdr:sp macro="" textlink="">
      <xdr:nvSpPr>
        <xdr:cNvPr id="81" name="직사각형 8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Grp="1"/>
        </xdr:cNvSpPr>
      </xdr:nvSpPr>
      <xdr:spPr>
        <a:xfrm>
          <a:off x="4175329" y="0"/>
          <a:ext cx="57326" cy="329406"/>
        </a:xfrm>
        <a:prstGeom prst="rect">
          <a:avLst/>
        </a:prstGeom>
        <a:solidFill>
          <a:srgbClr val="F4733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560900</xdr:colOff>
      <xdr:row>0</xdr:row>
      <xdr:rowOff>0</xdr:rowOff>
    </xdr:from>
    <xdr:to>
      <xdr:col>5</xdr:col>
      <xdr:colOff>618225</xdr:colOff>
      <xdr:row>3</xdr:row>
      <xdr:rowOff>15081</xdr:rowOff>
    </xdr:to>
    <xdr:sp macro="" textlink="">
      <xdr:nvSpPr>
        <xdr:cNvPr id="82" name="직사각형 8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Grp="1"/>
        </xdr:cNvSpPr>
      </xdr:nvSpPr>
      <xdr:spPr>
        <a:xfrm>
          <a:off x="4228025" y="0"/>
          <a:ext cx="57325" cy="329406"/>
        </a:xfrm>
        <a:prstGeom prst="rect">
          <a:avLst/>
        </a:prstGeom>
        <a:solidFill>
          <a:srgbClr val="F3713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613595</xdr:colOff>
      <xdr:row>0</xdr:row>
      <xdr:rowOff>0</xdr:rowOff>
    </xdr:from>
    <xdr:to>
      <xdr:col>5</xdr:col>
      <xdr:colOff>670920</xdr:colOff>
      <xdr:row>3</xdr:row>
      <xdr:rowOff>15081</xdr:rowOff>
    </xdr:to>
    <xdr:sp macro="" textlink="">
      <xdr:nvSpPr>
        <xdr:cNvPr id="83" name="직사각형 8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Grp="1"/>
        </xdr:cNvSpPr>
      </xdr:nvSpPr>
      <xdr:spPr>
        <a:xfrm>
          <a:off x="4280720" y="0"/>
          <a:ext cx="57325" cy="329406"/>
        </a:xfrm>
        <a:prstGeom prst="rect">
          <a:avLst/>
        </a:prstGeom>
        <a:solidFill>
          <a:srgbClr val="F36F3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666290</xdr:colOff>
      <xdr:row>0</xdr:row>
      <xdr:rowOff>0</xdr:rowOff>
    </xdr:from>
    <xdr:to>
      <xdr:col>5</xdr:col>
      <xdr:colOff>723616</xdr:colOff>
      <xdr:row>3</xdr:row>
      <xdr:rowOff>15081</xdr:rowOff>
    </xdr:to>
    <xdr:sp macro="" textlink="">
      <xdr:nvSpPr>
        <xdr:cNvPr id="84" name="직사각형 87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Grp="1"/>
        </xdr:cNvSpPr>
      </xdr:nvSpPr>
      <xdr:spPr>
        <a:xfrm>
          <a:off x="4333415" y="0"/>
          <a:ext cx="57326" cy="329406"/>
        </a:xfrm>
        <a:prstGeom prst="rect">
          <a:avLst/>
        </a:prstGeom>
        <a:solidFill>
          <a:srgbClr val="F36E3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718986</xdr:colOff>
      <xdr:row>0</xdr:row>
      <xdr:rowOff>0</xdr:rowOff>
    </xdr:from>
    <xdr:to>
      <xdr:col>5</xdr:col>
      <xdr:colOff>776311</xdr:colOff>
      <xdr:row>3</xdr:row>
      <xdr:rowOff>15081</xdr:rowOff>
    </xdr:to>
    <xdr:sp macro="" textlink="">
      <xdr:nvSpPr>
        <xdr:cNvPr id="85" name="직사각형 88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Grp="1"/>
        </xdr:cNvSpPr>
      </xdr:nvSpPr>
      <xdr:spPr>
        <a:xfrm>
          <a:off x="4386111" y="0"/>
          <a:ext cx="57325" cy="329406"/>
        </a:xfrm>
        <a:prstGeom prst="rect">
          <a:avLst/>
        </a:prstGeom>
        <a:solidFill>
          <a:srgbClr val="F36C3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771681</xdr:colOff>
      <xdr:row>0</xdr:row>
      <xdr:rowOff>0</xdr:rowOff>
    </xdr:from>
    <xdr:to>
      <xdr:col>5</xdr:col>
      <xdr:colOff>829007</xdr:colOff>
      <xdr:row>3</xdr:row>
      <xdr:rowOff>15081</xdr:rowOff>
    </xdr:to>
    <xdr:sp macro="" textlink="">
      <xdr:nvSpPr>
        <xdr:cNvPr id="86" name="직사각형 8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Grp="1"/>
        </xdr:cNvSpPr>
      </xdr:nvSpPr>
      <xdr:spPr>
        <a:xfrm>
          <a:off x="4438806" y="0"/>
          <a:ext cx="57326" cy="329406"/>
        </a:xfrm>
        <a:prstGeom prst="rect">
          <a:avLst/>
        </a:prstGeom>
        <a:solidFill>
          <a:srgbClr val="F36A2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824376</xdr:colOff>
      <xdr:row>0</xdr:row>
      <xdr:rowOff>0</xdr:rowOff>
    </xdr:from>
    <xdr:to>
      <xdr:col>5</xdr:col>
      <xdr:colOff>881702</xdr:colOff>
      <xdr:row>3</xdr:row>
      <xdr:rowOff>15081</xdr:rowOff>
    </xdr:to>
    <xdr:sp macro="" textlink="">
      <xdr:nvSpPr>
        <xdr:cNvPr id="87" name="직사각형 90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Grp="1"/>
        </xdr:cNvSpPr>
      </xdr:nvSpPr>
      <xdr:spPr>
        <a:xfrm>
          <a:off x="4491501" y="0"/>
          <a:ext cx="57326" cy="329406"/>
        </a:xfrm>
        <a:prstGeom prst="rect">
          <a:avLst/>
        </a:prstGeom>
        <a:solidFill>
          <a:srgbClr val="F3692B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877072</xdr:colOff>
      <xdr:row>0</xdr:row>
      <xdr:rowOff>0</xdr:rowOff>
    </xdr:from>
    <xdr:to>
      <xdr:col>6</xdr:col>
      <xdr:colOff>48572</xdr:colOff>
      <xdr:row>3</xdr:row>
      <xdr:rowOff>15081</xdr:rowOff>
    </xdr:to>
    <xdr:sp macro="" textlink="">
      <xdr:nvSpPr>
        <xdr:cNvPr id="88" name="직사각형 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Grp="1"/>
        </xdr:cNvSpPr>
      </xdr:nvSpPr>
      <xdr:spPr>
        <a:xfrm>
          <a:off x="4544197" y="0"/>
          <a:ext cx="57325" cy="329406"/>
        </a:xfrm>
        <a:prstGeom prst="rect">
          <a:avLst/>
        </a:prstGeom>
        <a:solidFill>
          <a:srgbClr val="F3672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43942</xdr:colOff>
      <xdr:row>0</xdr:row>
      <xdr:rowOff>0</xdr:rowOff>
    </xdr:from>
    <xdr:to>
      <xdr:col>6</xdr:col>
      <xdr:colOff>101267</xdr:colOff>
      <xdr:row>3</xdr:row>
      <xdr:rowOff>15081</xdr:rowOff>
    </xdr:to>
    <xdr:sp macro="" textlink="">
      <xdr:nvSpPr>
        <xdr:cNvPr id="89" name="직사각형 9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Grp="1"/>
        </xdr:cNvSpPr>
      </xdr:nvSpPr>
      <xdr:spPr>
        <a:xfrm>
          <a:off x="4596892" y="0"/>
          <a:ext cx="57325" cy="329406"/>
        </a:xfrm>
        <a:prstGeom prst="rect">
          <a:avLst/>
        </a:prstGeom>
        <a:solidFill>
          <a:srgbClr val="F2662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96637</xdr:colOff>
      <xdr:row>0</xdr:row>
      <xdr:rowOff>0</xdr:rowOff>
    </xdr:from>
    <xdr:to>
      <xdr:col>6</xdr:col>
      <xdr:colOff>153963</xdr:colOff>
      <xdr:row>3</xdr:row>
      <xdr:rowOff>15081</xdr:rowOff>
    </xdr:to>
    <xdr:sp macro="" textlink="">
      <xdr:nvSpPr>
        <xdr:cNvPr id="90" name="직사각형 9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Grp="1"/>
        </xdr:cNvSpPr>
      </xdr:nvSpPr>
      <xdr:spPr>
        <a:xfrm>
          <a:off x="4649587" y="0"/>
          <a:ext cx="57326" cy="329406"/>
        </a:xfrm>
        <a:prstGeom prst="rect">
          <a:avLst/>
        </a:prstGeom>
        <a:solidFill>
          <a:srgbClr val="F2642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149332</xdr:colOff>
      <xdr:row>0</xdr:row>
      <xdr:rowOff>0</xdr:rowOff>
    </xdr:from>
    <xdr:to>
      <xdr:col>6</xdr:col>
      <xdr:colOff>211618</xdr:colOff>
      <xdr:row>3</xdr:row>
      <xdr:rowOff>15081</xdr:rowOff>
    </xdr:to>
    <xdr:sp macro="" textlink="">
      <xdr:nvSpPr>
        <xdr:cNvPr id="91" name="직사각형 9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Grp="1"/>
        </xdr:cNvSpPr>
      </xdr:nvSpPr>
      <xdr:spPr>
        <a:xfrm>
          <a:off x="4702282" y="0"/>
          <a:ext cx="62286" cy="329406"/>
        </a:xfrm>
        <a:prstGeom prst="rect">
          <a:avLst/>
        </a:prstGeom>
        <a:solidFill>
          <a:srgbClr val="F2622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206989</xdr:colOff>
      <xdr:row>0</xdr:row>
      <xdr:rowOff>0</xdr:rowOff>
    </xdr:from>
    <xdr:to>
      <xdr:col>6</xdr:col>
      <xdr:colOff>264314</xdr:colOff>
      <xdr:row>3</xdr:row>
      <xdr:rowOff>15081</xdr:rowOff>
    </xdr:to>
    <xdr:sp macro="" textlink="">
      <xdr:nvSpPr>
        <xdr:cNvPr id="92" name="직사각형 95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Grp="1"/>
        </xdr:cNvSpPr>
      </xdr:nvSpPr>
      <xdr:spPr>
        <a:xfrm>
          <a:off x="4759939" y="0"/>
          <a:ext cx="57325" cy="329406"/>
        </a:xfrm>
        <a:prstGeom prst="rect">
          <a:avLst/>
        </a:prstGeom>
        <a:solidFill>
          <a:srgbClr val="F2612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259684</xdr:colOff>
      <xdr:row>0</xdr:row>
      <xdr:rowOff>0</xdr:rowOff>
    </xdr:from>
    <xdr:to>
      <xdr:col>6</xdr:col>
      <xdr:colOff>317010</xdr:colOff>
      <xdr:row>3</xdr:row>
      <xdr:rowOff>15081</xdr:rowOff>
    </xdr:to>
    <xdr:sp macro="" textlink="">
      <xdr:nvSpPr>
        <xdr:cNvPr id="93" name="직사각형 96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Grp="1"/>
        </xdr:cNvSpPr>
      </xdr:nvSpPr>
      <xdr:spPr>
        <a:xfrm>
          <a:off x="4812634" y="0"/>
          <a:ext cx="57326" cy="329406"/>
        </a:xfrm>
        <a:prstGeom prst="rect">
          <a:avLst/>
        </a:prstGeom>
        <a:solidFill>
          <a:srgbClr val="F25F1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312380</xdr:colOff>
      <xdr:row>0</xdr:row>
      <xdr:rowOff>0</xdr:rowOff>
    </xdr:from>
    <xdr:to>
      <xdr:col>6</xdr:col>
      <xdr:colOff>369705</xdr:colOff>
      <xdr:row>3</xdr:row>
      <xdr:rowOff>15081</xdr:rowOff>
    </xdr:to>
    <xdr:sp macro="" textlink="">
      <xdr:nvSpPr>
        <xdr:cNvPr id="94" name="직사각형 97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Grp="1"/>
        </xdr:cNvSpPr>
      </xdr:nvSpPr>
      <xdr:spPr>
        <a:xfrm>
          <a:off x="4865330" y="0"/>
          <a:ext cx="57325" cy="329406"/>
        </a:xfrm>
        <a:prstGeom prst="rect">
          <a:avLst/>
        </a:prstGeom>
        <a:solidFill>
          <a:srgbClr val="F25D1B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365075</xdr:colOff>
      <xdr:row>0</xdr:row>
      <xdr:rowOff>0</xdr:rowOff>
    </xdr:from>
    <xdr:to>
      <xdr:col>6</xdr:col>
      <xdr:colOff>422401</xdr:colOff>
      <xdr:row>3</xdr:row>
      <xdr:rowOff>15081</xdr:rowOff>
    </xdr:to>
    <xdr:sp macro="" textlink="">
      <xdr:nvSpPr>
        <xdr:cNvPr id="95" name="직사각형 98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Grp="1"/>
        </xdr:cNvSpPr>
      </xdr:nvSpPr>
      <xdr:spPr>
        <a:xfrm>
          <a:off x="4918025" y="0"/>
          <a:ext cx="57326" cy="329406"/>
        </a:xfrm>
        <a:prstGeom prst="rect">
          <a:avLst/>
        </a:prstGeom>
        <a:solidFill>
          <a:srgbClr val="F25C1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417769</xdr:colOff>
      <xdr:row>0</xdr:row>
      <xdr:rowOff>0</xdr:rowOff>
    </xdr:from>
    <xdr:to>
      <xdr:col>6</xdr:col>
      <xdr:colOff>475095</xdr:colOff>
      <xdr:row>3</xdr:row>
      <xdr:rowOff>15081</xdr:rowOff>
    </xdr:to>
    <xdr:sp macro="" textlink="">
      <xdr:nvSpPr>
        <xdr:cNvPr id="96" name="직사각형 99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Grp="1"/>
        </xdr:cNvSpPr>
      </xdr:nvSpPr>
      <xdr:spPr>
        <a:xfrm>
          <a:off x="4970719" y="0"/>
          <a:ext cx="57326" cy="329406"/>
        </a:xfrm>
        <a:prstGeom prst="rect">
          <a:avLst/>
        </a:prstGeom>
        <a:solidFill>
          <a:srgbClr val="F15A1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470466</xdr:colOff>
      <xdr:row>0</xdr:row>
      <xdr:rowOff>0</xdr:rowOff>
    </xdr:from>
    <xdr:to>
      <xdr:col>6</xdr:col>
      <xdr:colOff>527791</xdr:colOff>
      <xdr:row>3</xdr:row>
      <xdr:rowOff>15081</xdr:rowOff>
    </xdr:to>
    <xdr:sp macro="" textlink="">
      <xdr:nvSpPr>
        <xdr:cNvPr id="97" name="직사각형 100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Grp="1"/>
        </xdr:cNvSpPr>
      </xdr:nvSpPr>
      <xdr:spPr>
        <a:xfrm>
          <a:off x="5023416" y="0"/>
          <a:ext cx="57325" cy="329406"/>
        </a:xfrm>
        <a:prstGeom prst="rect">
          <a:avLst/>
        </a:prstGeom>
        <a:solidFill>
          <a:srgbClr val="F1581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523161</xdr:colOff>
      <xdr:row>0</xdr:row>
      <xdr:rowOff>0</xdr:rowOff>
    </xdr:from>
    <xdr:to>
      <xdr:col>7</xdr:col>
      <xdr:colOff>232224</xdr:colOff>
      <xdr:row>3</xdr:row>
      <xdr:rowOff>15081</xdr:rowOff>
    </xdr:to>
    <xdr:sp macro="" textlink="">
      <xdr:nvSpPr>
        <xdr:cNvPr id="98" name="직사각형 10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Grp="1"/>
        </xdr:cNvSpPr>
      </xdr:nvSpPr>
      <xdr:spPr>
        <a:xfrm>
          <a:off x="5076111" y="0"/>
          <a:ext cx="280563" cy="329406"/>
        </a:xfrm>
        <a:prstGeom prst="rect">
          <a:avLst/>
        </a:prstGeom>
        <a:solidFill>
          <a:srgbClr val="F1571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227593</xdr:colOff>
      <xdr:row>0</xdr:row>
      <xdr:rowOff>0</xdr:rowOff>
    </xdr:from>
    <xdr:to>
      <xdr:col>7</xdr:col>
      <xdr:colOff>284919</xdr:colOff>
      <xdr:row>3</xdr:row>
      <xdr:rowOff>15081</xdr:rowOff>
    </xdr:to>
    <xdr:sp macro="" textlink="">
      <xdr:nvSpPr>
        <xdr:cNvPr id="99" name="직사각형 10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Grp="1"/>
        </xdr:cNvSpPr>
      </xdr:nvSpPr>
      <xdr:spPr>
        <a:xfrm>
          <a:off x="5352043" y="0"/>
          <a:ext cx="57326" cy="329406"/>
        </a:xfrm>
        <a:prstGeom prst="rect">
          <a:avLst/>
        </a:prstGeom>
        <a:solidFill>
          <a:srgbClr val="F1551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280289</xdr:colOff>
      <xdr:row>0</xdr:row>
      <xdr:rowOff>0</xdr:rowOff>
    </xdr:from>
    <xdr:to>
      <xdr:col>7</xdr:col>
      <xdr:colOff>337614</xdr:colOff>
      <xdr:row>3</xdr:row>
      <xdr:rowOff>15081</xdr:rowOff>
    </xdr:to>
    <xdr:sp macro="" textlink="">
      <xdr:nvSpPr>
        <xdr:cNvPr id="100" name="직사각형 10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Grp="1"/>
        </xdr:cNvSpPr>
      </xdr:nvSpPr>
      <xdr:spPr>
        <a:xfrm>
          <a:off x="5404739" y="0"/>
          <a:ext cx="57325" cy="329406"/>
        </a:xfrm>
        <a:prstGeom prst="rect">
          <a:avLst/>
        </a:prstGeom>
        <a:solidFill>
          <a:srgbClr val="F1540D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332984</xdr:colOff>
      <xdr:row>0</xdr:row>
      <xdr:rowOff>0</xdr:rowOff>
    </xdr:from>
    <xdr:to>
      <xdr:col>7</xdr:col>
      <xdr:colOff>390310</xdr:colOff>
      <xdr:row>3</xdr:row>
      <xdr:rowOff>15081</xdr:rowOff>
    </xdr:to>
    <xdr:sp macro="" textlink="">
      <xdr:nvSpPr>
        <xdr:cNvPr id="101" name="직사각형 10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Grp="1"/>
        </xdr:cNvSpPr>
      </xdr:nvSpPr>
      <xdr:spPr>
        <a:xfrm>
          <a:off x="5457434" y="0"/>
          <a:ext cx="57326" cy="329406"/>
        </a:xfrm>
        <a:prstGeom prst="rect">
          <a:avLst/>
        </a:prstGeom>
        <a:solidFill>
          <a:srgbClr val="F1520B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385679</xdr:colOff>
      <xdr:row>0</xdr:row>
      <xdr:rowOff>0</xdr:rowOff>
    </xdr:from>
    <xdr:to>
      <xdr:col>7</xdr:col>
      <xdr:colOff>443005</xdr:colOff>
      <xdr:row>3</xdr:row>
      <xdr:rowOff>15081</xdr:rowOff>
    </xdr:to>
    <xdr:sp macro="" textlink="">
      <xdr:nvSpPr>
        <xdr:cNvPr id="102" name="직사각형 105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Grp="1"/>
        </xdr:cNvSpPr>
      </xdr:nvSpPr>
      <xdr:spPr>
        <a:xfrm>
          <a:off x="5510129" y="0"/>
          <a:ext cx="57326" cy="329406"/>
        </a:xfrm>
        <a:prstGeom prst="rect">
          <a:avLst/>
        </a:prstGeom>
        <a:solidFill>
          <a:srgbClr val="F1500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438375</xdr:colOff>
      <xdr:row>0</xdr:row>
      <xdr:rowOff>0</xdr:rowOff>
    </xdr:from>
    <xdr:to>
      <xdr:col>7</xdr:col>
      <xdr:colOff>495700</xdr:colOff>
      <xdr:row>3</xdr:row>
      <xdr:rowOff>15081</xdr:rowOff>
    </xdr:to>
    <xdr:sp macro="" textlink="">
      <xdr:nvSpPr>
        <xdr:cNvPr id="103" name="직사각형 106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Grp="1"/>
        </xdr:cNvSpPr>
      </xdr:nvSpPr>
      <xdr:spPr>
        <a:xfrm>
          <a:off x="5562825" y="0"/>
          <a:ext cx="57325" cy="329406"/>
        </a:xfrm>
        <a:prstGeom prst="rect">
          <a:avLst/>
        </a:prstGeom>
        <a:solidFill>
          <a:srgbClr val="F04F0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491070</xdr:colOff>
      <xdr:row>0</xdr:row>
      <xdr:rowOff>0</xdr:rowOff>
    </xdr:from>
    <xdr:to>
      <xdr:col>7</xdr:col>
      <xdr:colOff>548395</xdr:colOff>
      <xdr:row>3</xdr:row>
      <xdr:rowOff>15081</xdr:rowOff>
    </xdr:to>
    <xdr:sp macro="" textlink="">
      <xdr:nvSpPr>
        <xdr:cNvPr id="104" name="직사각형 10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Grp="1"/>
        </xdr:cNvSpPr>
      </xdr:nvSpPr>
      <xdr:spPr>
        <a:xfrm>
          <a:off x="5615520" y="0"/>
          <a:ext cx="57325" cy="329406"/>
        </a:xfrm>
        <a:prstGeom prst="rect">
          <a:avLst/>
        </a:prstGeom>
        <a:solidFill>
          <a:srgbClr val="F04D0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543765</xdr:colOff>
      <xdr:row>0</xdr:row>
      <xdr:rowOff>0</xdr:rowOff>
    </xdr:from>
    <xdr:to>
      <xdr:col>7</xdr:col>
      <xdr:colOff>601091</xdr:colOff>
      <xdr:row>3</xdr:row>
      <xdr:rowOff>15081</xdr:rowOff>
    </xdr:to>
    <xdr:sp macro="" textlink="">
      <xdr:nvSpPr>
        <xdr:cNvPr id="105" name="직사각형 108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Grp="1"/>
        </xdr:cNvSpPr>
      </xdr:nvSpPr>
      <xdr:spPr>
        <a:xfrm>
          <a:off x="5668215" y="0"/>
          <a:ext cx="57326" cy="329406"/>
        </a:xfrm>
        <a:prstGeom prst="rect">
          <a:avLst/>
        </a:prstGeom>
        <a:solidFill>
          <a:srgbClr val="F04B0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596461</xdr:colOff>
      <xdr:row>0</xdr:row>
      <xdr:rowOff>0</xdr:rowOff>
    </xdr:from>
    <xdr:to>
      <xdr:col>7</xdr:col>
      <xdr:colOff>653786</xdr:colOff>
      <xdr:row>3</xdr:row>
      <xdr:rowOff>15081</xdr:rowOff>
    </xdr:to>
    <xdr:sp macro="" textlink="">
      <xdr:nvSpPr>
        <xdr:cNvPr id="106" name="직사각형 109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Grp="1"/>
        </xdr:cNvSpPr>
      </xdr:nvSpPr>
      <xdr:spPr>
        <a:xfrm>
          <a:off x="5720911" y="0"/>
          <a:ext cx="57325" cy="329406"/>
        </a:xfrm>
        <a:prstGeom prst="rect">
          <a:avLst/>
        </a:prstGeom>
        <a:solidFill>
          <a:srgbClr val="F04A0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649156</xdr:colOff>
      <xdr:row>0</xdr:row>
      <xdr:rowOff>0</xdr:rowOff>
    </xdr:from>
    <xdr:to>
      <xdr:col>7</xdr:col>
      <xdr:colOff>706481</xdr:colOff>
      <xdr:row>3</xdr:row>
      <xdr:rowOff>15081</xdr:rowOff>
    </xdr:to>
    <xdr:sp macro="" textlink="">
      <xdr:nvSpPr>
        <xdr:cNvPr id="107" name="직사각형 11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Grp="1"/>
        </xdr:cNvSpPr>
      </xdr:nvSpPr>
      <xdr:spPr>
        <a:xfrm>
          <a:off x="5773606" y="0"/>
          <a:ext cx="57325" cy="329406"/>
        </a:xfrm>
        <a:prstGeom prst="rect">
          <a:avLst/>
        </a:prstGeom>
        <a:solidFill>
          <a:srgbClr val="ED490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701851</xdr:colOff>
      <xdr:row>0</xdr:row>
      <xdr:rowOff>0</xdr:rowOff>
    </xdr:from>
    <xdr:to>
      <xdr:col>8</xdr:col>
      <xdr:colOff>25752</xdr:colOff>
      <xdr:row>3</xdr:row>
      <xdr:rowOff>15081</xdr:rowOff>
    </xdr:to>
    <xdr:sp macro="" textlink="">
      <xdr:nvSpPr>
        <xdr:cNvPr id="108" name="직사각형 11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Grp="1"/>
        </xdr:cNvSpPr>
      </xdr:nvSpPr>
      <xdr:spPr>
        <a:xfrm>
          <a:off x="5826301" y="0"/>
          <a:ext cx="57326" cy="329406"/>
        </a:xfrm>
        <a:prstGeom prst="rect">
          <a:avLst/>
        </a:prstGeom>
        <a:solidFill>
          <a:srgbClr val="EA490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21122</xdr:colOff>
      <xdr:row>0</xdr:row>
      <xdr:rowOff>0</xdr:rowOff>
    </xdr:from>
    <xdr:to>
      <xdr:col>8</xdr:col>
      <xdr:colOff>78447</xdr:colOff>
      <xdr:row>3</xdr:row>
      <xdr:rowOff>15081</xdr:rowOff>
    </xdr:to>
    <xdr:sp macro="" textlink="">
      <xdr:nvSpPr>
        <xdr:cNvPr id="109" name="직사각형 11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Grp="1"/>
        </xdr:cNvSpPr>
      </xdr:nvSpPr>
      <xdr:spPr>
        <a:xfrm>
          <a:off x="5878997" y="0"/>
          <a:ext cx="57325" cy="329406"/>
        </a:xfrm>
        <a:prstGeom prst="rect">
          <a:avLst/>
        </a:prstGeom>
        <a:solidFill>
          <a:srgbClr val="E7480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73817</xdr:colOff>
      <xdr:row>0</xdr:row>
      <xdr:rowOff>0</xdr:rowOff>
    </xdr:from>
    <xdr:to>
      <xdr:col>8</xdr:col>
      <xdr:colOff>131143</xdr:colOff>
      <xdr:row>3</xdr:row>
      <xdr:rowOff>15081</xdr:rowOff>
    </xdr:to>
    <xdr:sp macro="" textlink="">
      <xdr:nvSpPr>
        <xdr:cNvPr id="110" name="직사각형 11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Grp="1"/>
        </xdr:cNvSpPr>
      </xdr:nvSpPr>
      <xdr:spPr>
        <a:xfrm>
          <a:off x="5931692" y="0"/>
          <a:ext cx="57326" cy="329406"/>
        </a:xfrm>
        <a:prstGeom prst="rect">
          <a:avLst/>
        </a:prstGeom>
        <a:solidFill>
          <a:srgbClr val="E5480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126512</xdr:colOff>
      <xdr:row>0</xdr:row>
      <xdr:rowOff>0</xdr:rowOff>
    </xdr:from>
    <xdr:to>
      <xdr:col>8</xdr:col>
      <xdr:colOff>183838</xdr:colOff>
      <xdr:row>3</xdr:row>
      <xdr:rowOff>15081</xdr:rowOff>
    </xdr:to>
    <xdr:sp macro="" textlink="">
      <xdr:nvSpPr>
        <xdr:cNvPr id="111" name="직사각형 11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Grp="1"/>
        </xdr:cNvSpPr>
      </xdr:nvSpPr>
      <xdr:spPr>
        <a:xfrm>
          <a:off x="5984387" y="0"/>
          <a:ext cx="57326" cy="329406"/>
        </a:xfrm>
        <a:prstGeom prst="rect">
          <a:avLst/>
        </a:prstGeom>
        <a:solidFill>
          <a:srgbClr val="E2480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179208</xdr:colOff>
      <xdr:row>0</xdr:row>
      <xdr:rowOff>0</xdr:rowOff>
    </xdr:from>
    <xdr:to>
      <xdr:col>8</xdr:col>
      <xdr:colOff>236533</xdr:colOff>
      <xdr:row>3</xdr:row>
      <xdr:rowOff>15081</xdr:rowOff>
    </xdr:to>
    <xdr:sp macro="" textlink="">
      <xdr:nvSpPr>
        <xdr:cNvPr id="112" name="직사각형 11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Grp="1"/>
        </xdr:cNvSpPr>
      </xdr:nvSpPr>
      <xdr:spPr>
        <a:xfrm>
          <a:off x="6037083" y="0"/>
          <a:ext cx="57325" cy="329406"/>
        </a:xfrm>
        <a:prstGeom prst="rect">
          <a:avLst/>
        </a:prstGeom>
        <a:solidFill>
          <a:srgbClr val="DF470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231903</xdr:colOff>
      <xdr:row>0</xdr:row>
      <xdr:rowOff>0</xdr:rowOff>
    </xdr:from>
    <xdr:to>
      <xdr:col>8</xdr:col>
      <xdr:colOff>284268</xdr:colOff>
      <xdr:row>3</xdr:row>
      <xdr:rowOff>15081</xdr:rowOff>
    </xdr:to>
    <xdr:sp macro="" textlink="">
      <xdr:nvSpPr>
        <xdr:cNvPr id="113" name="직사각형 11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Grp="1"/>
        </xdr:cNvSpPr>
      </xdr:nvSpPr>
      <xdr:spPr>
        <a:xfrm>
          <a:off x="6089778" y="0"/>
          <a:ext cx="52365" cy="329406"/>
        </a:xfrm>
        <a:prstGeom prst="rect">
          <a:avLst/>
        </a:prstGeom>
        <a:solidFill>
          <a:srgbClr val="DD470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279637</xdr:colOff>
      <xdr:row>0</xdr:row>
      <xdr:rowOff>0</xdr:rowOff>
    </xdr:from>
    <xdr:to>
      <xdr:col>8</xdr:col>
      <xdr:colOff>336963</xdr:colOff>
      <xdr:row>3</xdr:row>
      <xdr:rowOff>15081</xdr:rowOff>
    </xdr:to>
    <xdr:sp macro="" textlink="">
      <xdr:nvSpPr>
        <xdr:cNvPr id="114" name="직사각형 117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Grp="1"/>
        </xdr:cNvSpPr>
      </xdr:nvSpPr>
      <xdr:spPr>
        <a:xfrm>
          <a:off x="6137512" y="0"/>
          <a:ext cx="57326" cy="329406"/>
        </a:xfrm>
        <a:prstGeom prst="rect">
          <a:avLst/>
        </a:prstGeom>
        <a:solidFill>
          <a:srgbClr val="DA460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332333</xdr:colOff>
      <xdr:row>0</xdr:row>
      <xdr:rowOff>0</xdr:rowOff>
    </xdr:from>
    <xdr:to>
      <xdr:col>8</xdr:col>
      <xdr:colOff>389658</xdr:colOff>
      <xdr:row>3</xdr:row>
      <xdr:rowOff>15081</xdr:rowOff>
    </xdr:to>
    <xdr:sp macro="" textlink="">
      <xdr:nvSpPr>
        <xdr:cNvPr id="115" name="직사각형 118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Grp="1"/>
        </xdr:cNvSpPr>
      </xdr:nvSpPr>
      <xdr:spPr>
        <a:xfrm>
          <a:off x="6190208" y="0"/>
          <a:ext cx="57325" cy="329406"/>
        </a:xfrm>
        <a:prstGeom prst="rect">
          <a:avLst/>
        </a:prstGeom>
        <a:solidFill>
          <a:srgbClr val="D7460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385028</xdr:colOff>
      <xdr:row>0</xdr:row>
      <xdr:rowOff>0</xdr:rowOff>
    </xdr:from>
    <xdr:to>
      <xdr:col>8</xdr:col>
      <xdr:colOff>442354</xdr:colOff>
      <xdr:row>3</xdr:row>
      <xdr:rowOff>15081</xdr:rowOff>
    </xdr:to>
    <xdr:sp macro="" textlink="">
      <xdr:nvSpPr>
        <xdr:cNvPr id="116" name="직사각형 11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Grp="1"/>
        </xdr:cNvSpPr>
      </xdr:nvSpPr>
      <xdr:spPr>
        <a:xfrm>
          <a:off x="6242903" y="0"/>
          <a:ext cx="57326" cy="329406"/>
        </a:xfrm>
        <a:prstGeom prst="rect">
          <a:avLst/>
        </a:prstGeom>
        <a:solidFill>
          <a:srgbClr val="D5450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437723</xdr:colOff>
      <xdr:row>0</xdr:row>
      <xdr:rowOff>0</xdr:rowOff>
    </xdr:from>
    <xdr:to>
      <xdr:col>8</xdr:col>
      <xdr:colOff>495049</xdr:colOff>
      <xdr:row>3</xdr:row>
      <xdr:rowOff>15081</xdr:rowOff>
    </xdr:to>
    <xdr:sp macro="" textlink="">
      <xdr:nvSpPr>
        <xdr:cNvPr id="117" name="직사각형 120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Grp="1"/>
        </xdr:cNvSpPr>
      </xdr:nvSpPr>
      <xdr:spPr>
        <a:xfrm>
          <a:off x="6295598" y="0"/>
          <a:ext cx="57326" cy="329406"/>
        </a:xfrm>
        <a:prstGeom prst="rect">
          <a:avLst/>
        </a:prstGeom>
        <a:solidFill>
          <a:srgbClr val="D2450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490419</xdr:colOff>
      <xdr:row>0</xdr:row>
      <xdr:rowOff>0</xdr:rowOff>
    </xdr:from>
    <xdr:to>
      <xdr:col>8</xdr:col>
      <xdr:colOff>547744</xdr:colOff>
      <xdr:row>3</xdr:row>
      <xdr:rowOff>15081</xdr:rowOff>
    </xdr:to>
    <xdr:sp macro="" textlink="">
      <xdr:nvSpPr>
        <xdr:cNvPr id="118" name="직사각형 12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Grp="1"/>
        </xdr:cNvSpPr>
      </xdr:nvSpPr>
      <xdr:spPr>
        <a:xfrm>
          <a:off x="6348294" y="0"/>
          <a:ext cx="57325" cy="329406"/>
        </a:xfrm>
        <a:prstGeom prst="rect">
          <a:avLst/>
        </a:prstGeom>
        <a:solidFill>
          <a:srgbClr val="CF440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543114</xdr:colOff>
      <xdr:row>0</xdr:row>
      <xdr:rowOff>0</xdr:rowOff>
    </xdr:from>
    <xdr:to>
      <xdr:col>8</xdr:col>
      <xdr:colOff>600439</xdr:colOff>
      <xdr:row>3</xdr:row>
      <xdr:rowOff>15081</xdr:rowOff>
    </xdr:to>
    <xdr:sp macro="" textlink="">
      <xdr:nvSpPr>
        <xdr:cNvPr id="119" name="직사각형 122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Grp="1"/>
        </xdr:cNvSpPr>
      </xdr:nvSpPr>
      <xdr:spPr>
        <a:xfrm>
          <a:off x="6400989" y="0"/>
          <a:ext cx="57325" cy="329406"/>
        </a:xfrm>
        <a:prstGeom prst="rect">
          <a:avLst/>
        </a:prstGeom>
        <a:solidFill>
          <a:srgbClr val="CD440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595809</xdr:colOff>
      <xdr:row>0</xdr:row>
      <xdr:rowOff>0</xdr:rowOff>
    </xdr:from>
    <xdr:to>
      <xdr:col>8</xdr:col>
      <xdr:colOff>653135</xdr:colOff>
      <xdr:row>3</xdr:row>
      <xdr:rowOff>15081</xdr:rowOff>
    </xdr:to>
    <xdr:sp macro="" textlink="">
      <xdr:nvSpPr>
        <xdr:cNvPr id="120" name="직사각형 12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Grp="1"/>
        </xdr:cNvSpPr>
      </xdr:nvSpPr>
      <xdr:spPr>
        <a:xfrm>
          <a:off x="6453684" y="0"/>
          <a:ext cx="57326" cy="329406"/>
        </a:xfrm>
        <a:prstGeom prst="rect">
          <a:avLst/>
        </a:prstGeom>
        <a:solidFill>
          <a:srgbClr val="CA430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648505</xdr:colOff>
      <xdr:row>0</xdr:row>
      <xdr:rowOff>0</xdr:rowOff>
    </xdr:from>
    <xdr:to>
      <xdr:col>8</xdr:col>
      <xdr:colOff>705830</xdr:colOff>
      <xdr:row>3</xdr:row>
      <xdr:rowOff>15081</xdr:rowOff>
    </xdr:to>
    <xdr:sp macro="" textlink="">
      <xdr:nvSpPr>
        <xdr:cNvPr id="121" name="직사각형 12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Grp="1"/>
        </xdr:cNvSpPr>
      </xdr:nvSpPr>
      <xdr:spPr>
        <a:xfrm>
          <a:off x="6506380" y="0"/>
          <a:ext cx="57325" cy="329406"/>
        </a:xfrm>
        <a:prstGeom prst="rect">
          <a:avLst/>
        </a:prstGeom>
        <a:solidFill>
          <a:srgbClr val="C7430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701200</xdr:colOff>
      <xdr:row>0</xdr:row>
      <xdr:rowOff>0</xdr:rowOff>
    </xdr:from>
    <xdr:to>
      <xdr:col>9</xdr:col>
      <xdr:colOff>25100</xdr:colOff>
      <xdr:row>3</xdr:row>
      <xdr:rowOff>15081</xdr:rowOff>
    </xdr:to>
    <xdr:sp macro="" textlink="">
      <xdr:nvSpPr>
        <xdr:cNvPr id="122" name="직사각형 125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Grp="1"/>
        </xdr:cNvSpPr>
      </xdr:nvSpPr>
      <xdr:spPr>
        <a:xfrm>
          <a:off x="6559075" y="0"/>
          <a:ext cx="57325" cy="329406"/>
        </a:xfrm>
        <a:prstGeom prst="rect">
          <a:avLst/>
        </a:prstGeom>
        <a:solidFill>
          <a:srgbClr val="C5420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20470</xdr:colOff>
      <xdr:row>0</xdr:row>
      <xdr:rowOff>0</xdr:rowOff>
    </xdr:from>
    <xdr:to>
      <xdr:col>9</xdr:col>
      <xdr:colOff>77796</xdr:colOff>
      <xdr:row>3</xdr:row>
      <xdr:rowOff>15081</xdr:rowOff>
    </xdr:to>
    <xdr:sp macro="" textlink="">
      <xdr:nvSpPr>
        <xdr:cNvPr id="123" name="직사각형 126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Grp="1"/>
        </xdr:cNvSpPr>
      </xdr:nvSpPr>
      <xdr:spPr>
        <a:xfrm>
          <a:off x="6611770" y="0"/>
          <a:ext cx="57326" cy="329406"/>
        </a:xfrm>
        <a:prstGeom prst="rect">
          <a:avLst/>
        </a:prstGeom>
        <a:solidFill>
          <a:srgbClr val="C2420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73166</xdr:colOff>
      <xdr:row>0</xdr:row>
      <xdr:rowOff>0</xdr:rowOff>
    </xdr:from>
    <xdr:to>
      <xdr:col>9</xdr:col>
      <xdr:colOff>130491</xdr:colOff>
      <xdr:row>3</xdr:row>
      <xdr:rowOff>15081</xdr:rowOff>
    </xdr:to>
    <xdr:sp macro="" textlink="">
      <xdr:nvSpPr>
        <xdr:cNvPr id="124" name="직사각형 127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Grp="1"/>
        </xdr:cNvSpPr>
      </xdr:nvSpPr>
      <xdr:spPr>
        <a:xfrm>
          <a:off x="6664466" y="0"/>
          <a:ext cx="57325" cy="329406"/>
        </a:xfrm>
        <a:prstGeom prst="rect">
          <a:avLst/>
        </a:prstGeom>
        <a:solidFill>
          <a:srgbClr val="BF410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125861</xdr:colOff>
      <xdr:row>0</xdr:row>
      <xdr:rowOff>0</xdr:rowOff>
    </xdr:from>
    <xdr:to>
      <xdr:col>9</xdr:col>
      <xdr:colOff>183187</xdr:colOff>
      <xdr:row>3</xdr:row>
      <xdr:rowOff>15081</xdr:rowOff>
    </xdr:to>
    <xdr:sp macro="" textlink="">
      <xdr:nvSpPr>
        <xdr:cNvPr id="125" name="직사각형 128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Grp="1"/>
        </xdr:cNvSpPr>
      </xdr:nvSpPr>
      <xdr:spPr>
        <a:xfrm>
          <a:off x="6717161" y="0"/>
          <a:ext cx="57326" cy="329406"/>
        </a:xfrm>
        <a:prstGeom prst="rect">
          <a:avLst/>
        </a:prstGeom>
        <a:solidFill>
          <a:srgbClr val="BC410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178556</xdr:colOff>
      <xdr:row>0</xdr:row>
      <xdr:rowOff>0</xdr:rowOff>
    </xdr:from>
    <xdr:to>
      <xdr:col>9</xdr:col>
      <xdr:colOff>235882</xdr:colOff>
      <xdr:row>3</xdr:row>
      <xdr:rowOff>15081</xdr:rowOff>
    </xdr:to>
    <xdr:sp macro="" textlink="">
      <xdr:nvSpPr>
        <xdr:cNvPr id="126" name="직사각형 129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Grp="1"/>
        </xdr:cNvSpPr>
      </xdr:nvSpPr>
      <xdr:spPr>
        <a:xfrm>
          <a:off x="6769856" y="0"/>
          <a:ext cx="57326" cy="329406"/>
        </a:xfrm>
        <a:prstGeom prst="rect">
          <a:avLst/>
        </a:prstGeom>
        <a:solidFill>
          <a:srgbClr val="BA400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231251</xdr:colOff>
      <xdr:row>0</xdr:row>
      <xdr:rowOff>0</xdr:rowOff>
    </xdr:from>
    <xdr:to>
      <xdr:col>9</xdr:col>
      <xdr:colOff>283615</xdr:colOff>
      <xdr:row>3</xdr:row>
      <xdr:rowOff>15081</xdr:rowOff>
    </xdr:to>
    <xdr:sp macro="" textlink="">
      <xdr:nvSpPr>
        <xdr:cNvPr id="127" name="직사각형 130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Grp="1"/>
        </xdr:cNvSpPr>
      </xdr:nvSpPr>
      <xdr:spPr>
        <a:xfrm>
          <a:off x="6822551" y="0"/>
          <a:ext cx="52364" cy="329406"/>
        </a:xfrm>
        <a:prstGeom prst="rect">
          <a:avLst/>
        </a:prstGeom>
        <a:solidFill>
          <a:srgbClr val="B7400B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278985</xdr:colOff>
      <xdr:row>0</xdr:row>
      <xdr:rowOff>0</xdr:rowOff>
    </xdr:from>
    <xdr:to>
      <xdr:col>9</xdr:col>
      <xdr:colOff>336310</xdr:colOff>
      <xdr:row>3</xdr:row>
      <xdr:rowOff>15081</xdr:rowOff>
    </xdr:to>
    <xdr:sp macro="" textlink="">
      <xdr:nvSpPr>
        <xdr:cNvPr id="128" name="직사각형 13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Grp="1"/>
        </xdr:cNvSpPr>
      </xdr:nvSpPr>
      <xdr:spPr>
        <a:xfrm>
          <a:off x="6870285" y="0"/>
          <a:ext cx="57325" cy="329406"/>
        </a:xfrm>
        <a:prstGeom prst="rect">
          <a:avLst/>
        </a:prstGeom>
        <a:solidFill>
          <a:srgbClr val="B43F0B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331681</xdr:colOff>
      <xdr:row>0</xdr:row>
      <xdr:rowOff>0</xdr:rowOff>
    </xdr:from>
    <xdr:to>
      <xdr:col>9</xdr:col>
      <xdr:colOff>389007</xdr:colOff>
      <xdr:row>3</xdr:row>
      <xdr:rowOff>15081</xdr:rowOff>
    </xdr:to>
    <xdr:sp macro="" textlink="">
      <xdr:nvSpPr>
        <xdr:cNvPr id="129" name="직사각형 132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Grp="1"/>
        </xdr:cNvSpPr>
      </xdr:nvSpPr>
      <xdr:spPr>
        <a:xfrm>
          <a:off x="6922981" y="0"/>
          <a:ext cx="57326" cy="329406"/>
        </a:xfrm>
        <a:prstGeom prst="rect">
          <a:avLst/>
        </a:prstGeom>
        <a:solidFill>
          <a:srgbClr val="B23F0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384377</xdr:colOff>
      <xdr:row>0</xdr:row>
      <xdr:rowOff>0</xdr:rowOff>
    </xdr:from>
    <xdr:to>
      <xdr:col>9</xdr:col>
      <xdr:colOff>441702</xdr:colOff>
      <xdr:row>3</xdr:row>
      <xdr:rowOff>15081</xdr:rowOff>
    </xdr:to>
    <xdr:sp macro="" textlink="">
      <xdr:nvSpPr>
        <xdr:cNvPr id="130" name="직사각형 133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Grp="1"/>
        </xdr:cNvSpPr>
      </xdr:nvSpPr>
      <xdr:spPr>
        <a:xfrm>
          <a:off x="6975677" y="0"/>
          <a:ext cx="57325" cy="329406"/>
        </a:xfrm>
        <a:prstGeom prst="rect">
          <a:avLst/>
        </a:prstGeom>
        <a:solidFill>
          <a:srgbClr val="AF3E0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437071</xdr:colOff>
      <xdr:row>0</xdr:row>
      <xdr:rowOff>0</xdr:rowOff>
    </xdr:from>
    <xdr:to>
      <xdr:col>9</xdr:col>
      <xdr:colOff>494396</xdr:colOff>
      <xdr:row>3</xdr:row>
      <xdr:rowOff>15081</xdr:rowOff>
    </xdr:to>
    <xdr:sp macro="" textlink="">
      <xdr:nvSpPr>
        <xdr:cNvPr id="131" name="직사각형 13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Grp="1"/>
        </xdr:cNvSpPr>
      </xdr:nvSpPr>
      <xdr:spPr>
        <a:xfrm>
          <a:off x="7028371" y="0"/>
          <a:ext cx="57325" cy="329406"/>
        </a:xfrm>
        <a:prstGeom prst="rect">
          <a:avLst/>
        </a:prstGeom>
        <a:solidFill>
          <a:srgbClr val="AC3E0D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489766</xdr:colOff>
      <xdr:row>0</xdr:row>
      <xdr:rowOff>0</xdr:rowOff>
    </xdr:from>
    <xdr:to>
      <xdr:col>9</xdr:col>
      <xdr:colOff>547091</xdr:colOff>
      <xdr:row>3</xdr:row>
      <xdr:rowOff>15081</xdr:rowOff>
    </xdr:to>
    <xdr:sp macro="" textlink="">
      <xdr:nvSpPr>
        <xdr:cNvPr id="132" name="직사각형 135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Grp="1"/>
        </xdr:cNvSpPr>
      </xdr:nvSpPr>
      <xdr:spPr>
        <a:xfrm>
          <a:off x="7081066" y="0"/>
          <a:ext cx="57325" cy="329406"/>
        </a:xfrm>
        <a:prstGeom prst="rect">
          <a:avLst/>
        </a:prstGeom>
        <a:solidFill>
          <a:srgbClr val="AA3D0D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542461</xdr:colOff>
      <xdr:row>0</xdr:row>
      <xdr:rowOff>0</xdr:rowOff>
    </xdr:from>
    <xdr:to>
      <xdr:col>9</xdr:col>
      <xdr:colOff>599787</xdr:colOff>
      <xdr:row>3</xdr:row>
      <xdr:rowOff>15081</xdr:rowOff>
    </xdr:to>
    <xdr:sp macro="" textlink="">
      <xdr:nvSpPr>
        <xdr:cNvPr id="133" name="직사각형 136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Grp="1"/>
        </xdr:cNvSpPr>
      </xdr:nvSpPr>
      <xdr:spPr>
        <a:xfrm>
          <a:off x="7133761" y="0"/>
          <a:ext cx="57326" cy="329406"/>
        </a:xfrm>
        <a:prstGeom prst="rect">
          <a:avLst/>
        </a:prstGeom>
        <a:solidFill>
          <a:srgbClr val="A73D0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595157</xdr:colOff>
      <xdr:row>0</xdr:row>
      <xdr:rowOff>0</xdr:rowOff>
    </xdr:from>
    <xdr:to>
      <xdr:col>9</xdr:col>
      <xdr:colOff>652482</xdr:colOff>
      <xdr:row>3</xdr:row>
      <xdr:rowOff>15081</xdr:rowOff>
    </xdr:to>
    <xdr:sp macro="" textlink="">
      <xdr:nvSpPr>
        <xdr:cNvPr id="134" name="직사각형 137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Grp="1"/>
        </xdr:cNvSpPr>
      </xdr:nvSpPr>
      <xdr:spPr>
        <a:xfrm>
          <a:off x="7186457" y="0"/>
          <a:ext cx="57325" cy="329406"/>
        </a:xfrm>
        <a:prstGeom prst="rect">
          <a:avLst/>
        </a:prstGeom>
        <a:solidFill>
          <a:srgbClr val="A43D0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647852</xdr:colOff>
      <xdr:row>0</xdr:row>
      <xdr:rowOff>0</xdr:rowOff>
    </xdr:from>
    <xdr:to>
      <xdr:col>9</xdr:col>
      <xdr:colOff>705177</xdr:colOff>
      <xdr:row>3</xdr:row>
      <xdr:rowOff>15081</xdr:rowOff>
    </xdr:to>
    <xdr:sp macro="" textlink="">
      <xdr:nvSpPr>
        <xdr:cNvPr id="135" name="직사각형 138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Grp="1"/>
        </xdr:cNvSpPr>
      </xdr:nvSpPr>
      <xdr:spPr>
        <a:xfrm>
          <a:off x="7239152" y="0"/>
          <a:ext cx="57325" cy="329406"/>
        </a:xfrm>
        <a:prstGeom prst="rect">
          <a:avLst/>
        </a:prstGeom>
        <a:solidFill>
          <a:srgbClr val="A23C0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700548</xdr:colOff>
      <xdr:row>0</xdr:row>
      <xdr:rowOff>0</xdr:rowOff>
    </xdr:from>
    <xdr:to>
      <xdr:col>9</xdr:col>
      <xdr:colOff>757873</xdr:colOff>
      <xdr:row>3</xdr:row>
      <xdr:rowOff>15081</xdr:rowOff>
    </xdr:to>
    <xdr:sp macro="" textlink="">
      <xdr:nvSpPr>
        <xdr:cNvPr id="136" name="직사각형 139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Grp="1"/>
        </xdr:cNvSpPr>
      </xdr:nvSpPr>
      <xdr:spPr>
        <a:xfrm>
          <a:off x="7291848" y="0"/>
          <a:ext cx="57325" cy="329406"/>
        </a:xfrm>
        <a:prstGeom prst="rect">
          <a:avLst/>
        </a:prstGeom>
        <a:solidFill>
          <a:srgbClr val="9F3C0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753243</xdr:colOff>
      <xdr:row>0</xdr:row>
      <xdr:rowOff>0</xdr:rowOff>
    </xdr:from>
    <xdr:to>
      <xdr:col>10</xdr:col>
      <xdr:colOff>943</xdr:colOff>
      <xdr:row>3</xdr:row>
      <xdr:rowOff>15081</xdr:rowOff>
    </xdr:to>
    <xdr:sp macro="" textlink="">
      <xdr:nvSpPr>
        <xdr:cNvPr id="137" name="직사각형 140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Grp="1"/>
        </xdr:cNvSpPr>
      </xdr:nvSpPr>
      <xdr:spPr>
        <a:xfrm>
          <a:off x="7344543" y="0"/>
          <a:ext cx="57325" cy="329406"/>
        </a:xfrm>
        <a:prstGeom prst="rect">
          <a:avLst/>
        </a:prstGeom>
        <a:solidFill>
          <a:srgbClr val="9C3B1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805938</xdr:colOff>
      <xdr:row>0</xdr:row>
      <xdr:rowOff>0</xdr:rowOff>
    </xdr:from>
    <xdr:to>
      <xdr:col>10</xdr:col>
      <xdr:colOff>53638</xdr:colOff>
      <xdr:row>3</xdr:row>
      <xdr:rowOff>15081</xdr:rowOff>
    </xdr:to>
    <xdr:sp macro="" textlink="">
      <xdr:nvSpPr>
        <xdr:cNvPr id="138" name="직사각형 14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Grp="1"/>
        </xdr:cNvSpPr>
      </xdr:nvSpPr>
      <xdr:spPr>
        <a:xfrm>
          <a:off x="7397238" y="0"/>
          <a:ext cx="57325" cy="329406"/>
        </a:xfrm>
        <a:prstGeom prst="rect">
          <a:avLst/>
        </a:prstGeom>
        <a:solidFill>
          <a:srgbClr val="9A3B1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49009</xdr:colOff>
      <xdr:row>0</xdr:row>
      <xdr:rowOff>0</xdr:rowOff>
    </xdr:from>
    <xdr:to>
      <xdr:col>10</xdr:col>
      <xdr:colOff>106334</xdr:colOff>
      <xdr:row>3</xdr:row>
      <xdr:rowOff>15081</xdr:rowOff>
    </xdr:to>
    <xdr:sp macro="" textlink="">
      <xdr:nvSpPr>
        <xdr:cNvPr id="139" name="직사각형 142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Grp="1"/>
        </xdr:cNvSpPr>
      </xdr:nvSpPr>
      <xdr:spPr>
        <a:xfrm>
          <a:off x="7449934" y="0"/>
          <a:ext cx="57325" cy="329406"/>
        </a:xfrm>
        <a:prstGeom prst="rect">
          <a:avLst/>
        </a:prstGeom>
        <a:solidFill>
          <a:srgbClr val="973A1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101703</xdr:colOff>
      <xdr:row>0</xdr:row>
      <xdr:rowOff>0</xdr:rowOff>
    </xdr:from>
    <xdr:to>
      <xdr:col>10</xdr:col>
      <xdr:colOff>159028</xdr:colOff>
      <xdr:row>3</xdr:row>
      <xdr:rowOff>15081</xdr:rowOff>
    </xdr:to>
    <xdr:sp macro="" textlink="">
      <xdr:nvSpPr>
        <xdr:cNvPr id="140" name="직사각형 143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Grp="1"/>
        </xdr:cNvSpPr>
      </xdr:nvSpPr>
      <xdr:spPr>
        <a:xfrm>
          <a:off x="7502628" y="0"/>
          <a:ext cx="57325" cy="329406"/>
        </a:xfrm>
        <a:prstGeom prst="rect">
          <a:avLst/>
        </a:prstGeom>
        <a:solidFill>
          <a:srgbClr val="943A1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154399</xdr:colOff>
      <xdr:row>0</xdr:row>
      <xdr:rowOff>0</xdr:rowOff>
    </xdr:from>
    <xdr:to>
      <xdr:col>10</xdr:col>
      <xdr:colOff>211724</xdr:colOff>
      <xdr:row>3</xdr:row>
      <xdr:rowOff>15081</xdr:rowOff>
    </xdr:to>
    <xdr:sp macro="" textlink="">
      <xdr:nvSpPr>
        <xdr:cNvPr id="141" name="직사각형 14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Grp="1"/>
        </xdr:cNvSpPr>
      </xdr:nvSpPr>
      <xdr:spPr>
        <a:xfrm>
          <a:off x="7555324" y="0"/>
          <a:ext cx="57325" cy="329406"/>
        </a:xfrm>
        <a:prstGeom prst="rect">
          <a:avLst/>
        </a:prstGeom>
        <a:solidFill>
          <a:srgbClr val="91391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207095</xdr:colOff>
      <xdr:row>0</xdr:row>
      <xdr:rowOff>0</xdr:rowOff>
    </xdr:from>
    <xdr:to>
      <xdr:col>10</xdr:col>
      <xdr:colOff>264420</xdr:colOff>
      <xdr:row>3</xdr:row>
      <xdr:rowOff>15081</xdr:rowOff>
    </xdr:to>
    <xdr:sp macro="" textlink="">
      <xdr:nvSpPr>
        <xdr:cNvPr id="142" name="직사각형 145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Grp="1"/>
        </xdr:cNvSpPr>
      </xdr:nvSpPr>
      <xdr:spPr>
        <a:xfrm>
          <a:off x="7608020" y="0"/>
          <a:ext cx="57325" cy="329406"/>
        </a:xfrm>
        <a:prstGeom prst="rect">
          <a:avLst/>
        </a:prstGeom>
        <a:solidFill>
          <a:srgbClr val="8F391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259790</xdr:colOff>
      <xdr:row>0</xdr:row>
      <xdr:rowOff>0</xdr:rowOff>
    </xdr:from>
    <xdr:to>
      <xdr:col>10</xdr:col>
      <xdr:colOff>317115</xdr:colOff>
      <xdr:row>3</xdr:row>
      <xdr:rowOff>15081</xdr:rowOff>
    </xdr:to>
    <xdr:sp macro="" textlink="">
      <xdr:nvSpPr>
        <xdr:cNvPr id="143" name="직사각형 146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Grp="1"/>
        </xdr:cNvSpPr>
      </xdr:nvSpPr>
      <xdr:spPr>
        <a:xfrm>
          <a:off x="7660715" y="0"/>
          <a:ext cx="57325" cy="329406"/>
        </a:xfrm>
        <a:prstGeom prst="rect">
          <a:avLst/>
        </a:prstGeom>
        <a:solidFill>
          <a:srgbClr val="8C381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312486</xdr:colOff>
      <xdr:row>0</xdr:row>
      <xdr:rowOff>0</xdr:rowOff>
    </xdr:from>
    <xdr:to>
      <xdr:col>10</xdr:col>
      <xdr:colOff>369811</xdr:colOff>
      <xdr:row>3</xdr:row>
      <xdr:rowOff>15081</xdr:rowOff>
    </xdr:to>
    <xdr:sp macro="" textlink="">
      <xdr:nvSpPr>
        <xdr:cNvPr id="144" name="직사각형 147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Grp="1"/>
        </xdr:cNvSpPr>
      </xdr:nvSpPr>
      <xdr:spPr>
        <a:xfrm>
          <a:off x="7713411" y="0"/>
          <a:ext cx="57325" cy="329406"/>
        </a:xfrm>
        <a:prstGeom prst="rect">
          <a:avLst/>
        </a:prstGeom>
        <a:solidFill>
          <a:srgbClr val="89381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365179</xdr:colOff>
      <xdr:row>0</xdr:row>
      <xdr:rowOff>0</xdr:rowOff>
    </xdr:from>
    <xdr:to>
      <xdr:col>10</xdr:col>
      <xdr:colOff>422504</xdr:colOff>
      <xdr:row>3</xdr:row>
      <xdr:rowOff>15081</xdr:rowOff>
    </xdr:to>
    <xdr:sp macro="" textlink="">
      <xdr:nvSpPr>
        <xdr:cNvPr id="145" name="직사각형 148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Grp="1"/>
        </xdr:cNvSpPr>
      </xdr:nvSpPr>
      <xdr:spPr>
        <a:xfrm>
          <a:off x="7766104" y="0"/>
          <a:ext cx="57325" cy="329406"/>
        </a:xfrm>
        <a:prstGeom prst="rect">
          <a:avLst/>
        </a:prstGeom>
        <a:solidFill>
          <a:srgbClr val="87371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417875</xdr:colOff>
      <xdr:row>0</xdr:row>
      <xdr:rowOff>0</xdr:rowOff>
    </xdr:from>
    <xdr:to>
      <xdr:col>10</xdr:col>
      <xdr:colOff>475200</xdr:colOff>
      <xdr:row>3</xdr:row>
      <xdr:rowOff>15081</xdr:rowOff>
    </xdr:to>
    <xdr:sp macro="" textlink="">
      <xdr:nvSpPr>
        <xdr:cNvPr id="146" name="직사각형 149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Grp="1"/>
        </xdr:cNvSpPr>
      </xdr:nvSpPr>
      <xdr:spPr>
        <a:xfrm>
          <a:off x="7818800" y="0"/>
          <a:ext cx="57325" cy="329406"/>
        </a:xfrm>
        <a:prstGeom prst="rect">
          <a:avLst/>
        </a:prstGeom>
        <a:solidFill>
          <a:srgbClr val="84371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470571</xdr:colOff>
      <xdr:row>0</xdr:row>
      <xdr:rowOff>0</xdr:rowOff>
    </xdr:from>
    <xdr:to>
      <xdr:col>10</xdr:col>
      <xdr:colOff>527896</xdr:colOff>
      <xdr:row>3</xdr:row>
      <xdr:rowOff>15081</xdr:rowOff>
    </xdr:to>
    <xdr:sp macro="" textlink="">
      <xdr:nvSpPr>
        <xdr:cNvPr id="147" name="직사각형 150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Grp="1"/>
        </xdr:cNvSpPr>
      </xdr:nvSpPr>
      <xdr:spPr>
        <a:xfrm>
          <a:off x="7871496" y="0"/>
          <a:ext cx="57325" cy="329406"/>
        </a:xfrm>
        <a:prstGeom prst="rect">
          <a:avLst/>
        </a:prstGeom>
        <a:solidFill>
          <a:srgbClr val="81361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523265</xdr:colOff>
      <xdr:row>0</xdr:row>
      <xdr:rowOff>0</xdr:rowOff>
    </xdr:from>
    <xdr:to>
      <xdr:col>10</xdr:col>
      <xdr:colOff>580591</xdr:colOff>
      <xdr:row>3</xdr:row>
      <xdr:rowOff>15081</xdr:rowOff>
    </xdr:to>
    <xdr:sp macro="" textlink="">
      <xdr:nvSpPr>
        <xdr:cNvPr id="148" name="직사각형 15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Grp="1"/>
        </xdr:cNvSpPr>
      </xdr:nvSpPr>
      <xdr:spPr>
        <a:xfrm>
          <a:off x="7924190" y="0"/>
          <a:ext cx="57326" cy="329406"/>
        </a:xfrm>
        <a:prstGeom prst="rect">
          <a:avLst/>
        </a:prstGeom>
        <a:solidFill>
          <a:srgbClr val="7F361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575961</xdr:colOff>
      <xdr:row>0</xdr:row>
      <xdr:rowOff>0</xdr:rowOff>
    </xdr:from>
    <xdr:to>
      <xdr:col>10</xdr:col>
      <xdr:colOff>633286</xdr:colOff>
      <xdr:row>3</xdr:row>
      <xdr:rowOff>15081</xdr:rowOff>
    </xdr:to>
    <xdr:sp macro="" textlink="">
      <xdr:nvSpPr>
        <xdr:cNvPr id="149" name="직사각형 152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Grp="1"/>
        </xdr:cNvSpPr>
      </xdr:nvSpPr>
      <xdr:spPr>
        <a:xfrm>
          <a:off x="7976886" y="0"/>
          <a:ext cx="57325" cy="329406"/>
        </a:xfrm>
        <a:prstGeom prst="rect">
          <a:avLst/>
        </a:prstGeom>
        <a:solidFill>
          <a:srgbClr val="7C351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628656</xdr:colOff>
      <xdr:row>0</xdr:row>
      <xdr:rowOff>0</xdr:rowOff>
    </xdr:from>
    <xdr:to>
      <xdr:col>10</xdr:col>
      <xdr:colOff>685981</xdr:colOff>
      <xdr:row>3</xdr:row>
      <xdr:rowOff>15081</xdr:rowOff>
    </xdr:to>
    <xdr:sp macro="" textlink="">
      <xdr:nvSpPr>
        <xdr:cNvPr id="150" name="직사각형 15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Grp="1"/>
        </xdr:cNvSpPr>
      </xdr:nvSpPr>
      <xdr:spPr>
        <a:xfrm>
          <a:off x="8029581" y="0"/>
          <a:ext cx="57325" cy="329406"/>
        </a:xfrm>
        <a:prstGeom prst="rect">
          <a:avLst/>
        </a:prstGeom>
        <a:solidFill>
          <a:srgbClr val="79351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681352</xdr:colOff>
      <xdr:row>0</xdr:row>
      <xdr:rowOff>0</xdr:rowOff>
    </xdr:from>
    <xdr:to>
      <xdr:col>10</xdr:col>
      <xdr:colOff>738677</xdr:colOff>
      <xdr:row>3</xdr:row>
      <xdr:rowOff>15081</xdr:rowOff>
    </xdr:to>
    <xdr:sp macro="" textlink="">
      <xdr:nvSpPr>
        <xdr:cNvPr id="151" name="직사각형 15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Grp="1"/>
        </xdr:cNvSpPr>
      </xdr:nvSpPr>
      <xdr:spPr>
        <a:xfrm>
          <a:off x="8082277" y="0"/>
          <a:ext cx="57325" cy="329406"/>
        </a:xfrm>
        <a:prstGeom prst="rect">
          <a:avLst/>
        </a:prstGeom>
        <a:solidFill>
          <a:srgbClr val="77341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734047</xdr:colOff>
      <xdr:row>0</xdr:row>
      <xdr:rowOff>0</xdr:rowOff>
    </xdr:from>
    <xdr:to>
      <xdr:col>10</xdr:col>
      <xdr:colOff>791372</xdr:colOff>
      <xdr:row>3</xdr:row>
      <xdr:rowOff>15081</xdr:rowOff>
    </xdr:to>
    <xdr:sp macro="" textlink="">
      <xdr:nvSpPr>
        <xdr:cNvPr id="152" name="직사각형 155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Grp="1"/>
        </xdr:cNvSpPr>
      </xdr:nvSpPr>
      <xdr:spPr>
        <a:xfrm>
          <a:off x="8134972" y="0"/>
          <a:ext cx="57325" cy="329406"/>
        </a:xfrm>
        <a:prstGeom prst="rect">
          <a:avLst/>
        </a:prstGeom>
        <a:solidFill>
          <a:srgbClr val="743417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786742</xdr:colOff>
      <xdr:row>0</xdr:row>
      <xdr:rowOff>0</xdr:rowOff>
    </xdr:from>
    <xdr:to>
      <xdr:col>10</xdr:col>
      <xdr:colOff>844067</xdr:colOff>
      <xdr:row>3</xdr:row>
      <xdr:rowOff>15081</xdr:rowOff>
    </xdr:to>
    <xdr:sp macro="" textlink="">
      <xdr:nvSpPr>
        <xdr:cNvPr id="153" name="직사각형 156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Grp="1"/>
        </xdr:cNvSpPr>
      </xdr:nvSpPr>
      <xdr:spPr>
        <a:xfrm>
          <a:off x="8187667" y="0"/>
          <a:ext cx="57325" cy="329406"/>
        </a:xfrm>
        <a:prstGeom prst="rect">
          <a:avLst/>
        </a:prstGeom>
        <a:solidFill>
          <a:srgbClr val="71331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839438</xdr:colOff>
      <xdr:row>0</xdr:row>
      <xdr:rowOff>0</xdr:rowOff>
    </xdr:from>
    <xdr:to>
      <xdr:col>10</xdr:col>
      <xdr:colOff>896763</xdr:colOff>
      <xdr:row>3</xdr:row>
      <xdr:rowOff>15081</xdr:rowOff>
    </xdr:to>
    <xdr:sp macro="" textlink="">
      <xdr:nvSpPr>
        <xdr:cNvPr id="154" name="직사각형 157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Grp="1"/>
        </xdr:cNvSpPr>
      </xdr:nvSpPr>
      <xdr:spPr>
        <a:xfrm>
          <a:off x="8240363" y="0"/>
          <a:ext cx="57325" cy="329406"/>
        </a:xfrm>
        <a:prstGeom prst="rect">
          <a:avLst/>
        </a:prstGeom>
        <a:solidFill>
          <a:srgbClr val="6F3318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892132</xdr:colOff>
      <xdr:row>0</xdr:row>
      <xdr:rowOff>0</xdr:rowOff>
    </xdr:from>
    <xdr:to>
      <xdr:col>10</xdr:col>
      <xdr:colOff>949457</xdr:colOff>
      <xdr:row>3</xdr:row>
      <xdr:rowOff>15081</xdr:rowOff>
    </xdr:to>
    <xdr:sp macro="" textlink="">
      <xdr:nvSpPr>
        <xdr:cNvPr id="155" name="직사각형 158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Grp="1"/>
        </xdr:cNvSpPr>
      </xdr:nvSpPr>
      <xdr:spPr>
        <a:xfrm>
          <a:off x="8293057" y="0"/>
          <a:ext cx="57325" cy="329406"/>
        </a:xfrm>
        <a:prstGeom prst="rect">
          <a:avLst/>
        </a:prstGeom>
        <a:solidFill>
          <a:srgbClr val="6C321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944828</xdr:colOff>
      <xdr:row>0</xdr:row>
      <xdr:rowOff>0</xdr:rowOff>
    </xdr:from>
    <xdr:to>
      <xdr:col>11</xdr:col>
      <xdr:colOff>40128</xdr:colOff>
      <xdr:row>3</xdr:row>
      <xdr:rowOff>15081</xdr:rowOff>
    </xdr:to>
    <xdr:sp macro="" textlink="">
      <xdr:nvSpPr>
        <xdr:cNvPr id="156" name="직사각형 159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Grp="1"/>
        </xdr:cNvSpPr>
      </xdr:nvSpPr>
      <xdr:spPr>
        <a:xfrm>
          <a:off x="8345753" y="0"/>
          <a:ext cx="57325" cy="329406"/>
        </a:xfrm>
        <a:prstGeom prst="rect">
          <a:avLst/>
        </a:prstGeom>
        <a:solidFill>
          <a:srgbClr val="693219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35499</xdr:colOff>
      <xdr:row>0</xdr:row>
      <xdr:rowOff>0</xdr:rowOff>
    </xdr:from>
    <xdr:to>
      <xdr:col>11</xdr:col>
      <xdr:colOff>92824</xdr:colOff>
      <xdr:row>3</xdr:row>
      <xdr:rowOff>15081</xdr:rowOff>
    </xdr:to>
    <xdr:sp macro="" textlink="">
      <xdr:nvSpPr>
        <xdr:cNvPr id="157" name="직사각형 160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Grp="1"/>
        </xdr:cNvSpPr>
      </xdr:nvSpPr>
      <xdr:spPr>
        <a:xfrm>
          <a:off x="8398449" y="0"/>
          <a:ext cx="57325" cy="329406"/>
        </a:xfrm>
        <a:prstGeom prst="rect">
          <a:avLst/>
        </a:prstGeom>
        <a:solidFill>
          <a:srgbClr val="66311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88194</xdr:colOff>
      <xdr:row>0</xdr:row>
      <xdr:rowOff>0</xdr:rowOff>
    </xdr:from>
    <xdr:to>
      <xdr:col>11</xdr:col>
      <xdr:colOff>145519</xdr:colOff>
      <xdr:row>3</xdr:row>
      <xdr:rowOff>15081</xdr:rowOff>
    </xdr:to>
    <xdr:sp macro="" textlink="">
      <xdr:nvSpPr>
        <xdr:cNvPr id="158" name="직사각형 16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Grp="1"/>
        </xdr:cNvSpPr>
      </xdr:nvSpPr>
      <xdr:spPr>
        <a:xfrm>
          <a:off x="8451144" y="0"/>
          <a:ext cx="57325" cy="329406"/>
        </a:xfrm>
        <a:prstGeom prst="rect">
          <a:avLst/>
        </a:prstGeom>
        <a:solidFill>
          <a:srgbClr val="64311A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140890</xdr:colOff>
      <xdr:row>0</xdr:row>
      <xdr:rowOff>0</xdr:rowOff>
    </xdr:from>
    <xdr:to>
      <xdr:col>11</xdr:col>
      <xdr:colOff>198215</xdr:colOff>
      <xdr:row>3</xdr:row>
      <xdr:rowOff>15081</xdr:rowOff>
    </xdr:to>
    <xdr:sp macro="" textlink="">
      <xdr:nvSpPr>
        <xdr:cNvPr id="159" name="직사각형 162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Grp="1"/>
        </xdr:cNvSpPr>
      </xdr:nvSpPr>
      <xdr:spPr>
        <a:xfrm>
          <a:off x="8503840" y="0"/>
          <a:ext cx="57325" cy="329406"/>
        </a:xfrm>
        <a:prstGeom prst="rect">
          <a:avLst/>
        </a:prstGeom>
        <a:solidFill>
          <a:srgbClr val="61311B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193584</xdr:colOff>
      <xdr:row>0</xdr:row>
      <xdr:rowOff>0</xdr:rowOff>
    </xdr:from>
    <xdr:to>
      <xdr:col>11</xdr:col>
      <xdr:colOff>250909</xdr:colOff>
      <xdr:row>3</xdr:row>
      <xdr:rowOff>15081</xdr:rowOff>
    </xdr:to>
    <xdr:sp macro="" textlink="">
      <xdr:nvSpPr>
        <xdr:cNvPr id="160" name="직사각형 163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Grp="1"/>
        </xdr:cNvSpPr>
      </xdr:nvSpPr>
      <xdr:spPr>
        <a:xfrm>
          <a:off x="8556534" y="0"/>
          <a:ext cx="57325" cy="329406"/>
        </a:xfrm>
        <a:prstGeom prst="rect">
          <a:avLst/>
        </a:prstGeom>
        <a:solidFill>
          <a:srgbClr val="5E301B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246280</xdr:colOff>
      <xdr:row>0</xdr:row>
      <xdr:rowOff>0</xdr:rowOff>
    </xdr:from>
    <xdr:to>
      <xdr:col>11</xdr:col>
      <xdr:colOff>303605</xdr:colOff>
      <xdr:row>3</xdr:row>
      <xdr:rowOff>15081</xdr:rowOff>
    </xdr:to>
    <xdr:sp macro="" textlink="">
      <xdr:nvSpPr>
        <xdr:cNvPr id="161" name="직사각형 16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Grp="1"/>
        </xdr:cNvSpPr>
      </xdr:nvSpPr>
      <xdr:spPr>
        <a:xfrm>
          <a:off x="8609230" y="0"/>
          <a:ext cx="57325" cy="329406"/>
        </a:xfrm>
        <a:prstGeom prst="rect">
          <a:avLst/>
        </a:prstGeom>
        <a:solidFill>
          <a:srgbClr val="5C301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298975</xdr:colOff>
      <xdr:row>0</xdr:row>
      <xdr:rowOff>0</xdr:rowOff>
    </xdr:from>
    <xdr:to>
      <xdr:col>11</xdr:col>
      <xdr:colOff>353820</xdr:colOff>
      <xdr:row>3</xdr:row>
      <xdr:rowOff>15081</xdr:rowOff>
    </xdr:to>
    <xdr:sp macro="" textlink="">
      <xdr:nvSpPr>
        <xdr:cNvPr id="162" name="직사각형 165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Grp="1"/>
        </xdr:cNvSpPr>
      </xdr:nvSpPr>
      <xdr:spPr>
        <a:xfrm>
          <a:off x="8661925" y="0"/>
          <a:ext cx="54845" cy="329406"/>
        </a:xfrm>
        <a:prstGeom prst="rect">
          <a:avLst/>
        </a:prstGeom>
        <a:solidFill>
          <a:srgbClr val="592F1C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349189</xdr:colOff>
      <xdr:row>0</xdr:row>
      <xdr:rowOff>0</xdr:rowOff>
    </xdr:from>
    <xdr:to>
      <xdr:col>11</xdr:col>
      <xdr:colOff>406515</xdr:colOff>
      <xdr:row>3</xdr:row>
      <xdr:rowOff>15081</xdr:rowOff>
    </xdr:to>
    <xdr:sp macro="" textlink="">
      <xdr:nvSpPr>
        <xdr:cNvPr id="163" name="직사각형 166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Grp="1"/>
        </xdr:cNvSpPr>
      </xdr:nvSpPr>
      <xdr:spPr>
        <a:xfrm>
          <a:off x="8712139" y="0"/>
          <a:ext cx="57326" cy="329406"/>
        </a:xfrm>
        <a:prstGeom prst="rect">
          <a:avLst/>
        </a:prstGeom>
        <a:solidFill>
          <a:srgbClr val="562F1D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401885</xdr:colOff>
      <xdr:row>0</xdr:row>
      <xdr:rowOff>0</xdr:rowOff>
    </xdr:from>
    <xdr:to>
      <xdr:col>11</xdr:col>
      <xdr:colOff>459210</xdr:colOff>
      <xdr:row>3</xdr:row>
      <xdr:rowOff>15081</xdr:rowOff>
    </xdr:to>
    <xdr:sp macro="" textlink="">
      <xdr:nvSpPr>
        <xdr:cNvPr id="164" name="직사각형 167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Grp="1"/>
        </xdr:cNvSpPr>
      </xdr:nvSpPr>
      <xdr:spPr>
        <a:xfrm>
          <a:off x="8764835" y="0"/>
          <a:ext cx="57325" cy="329406"/>
        </a:xfrm>
        <a:prstGeom prst="rect">
          <a:avLst/>
        </a:prstGeom>
        <a:solidFill>
          <a:srgbClr val="542E1D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454581</xdr:colOff>
      <xdr:row>0</xdr:row>
      <xdr:rowOff>0</xdr:rowOff>
    </xdr:from>
    <xdr:to>
      <xdr:col>11</xdr:col>
      <xdr:colOff>511906</xdr:colOff>
      <xdr:row>3</xdr:row>
      <xdr:rowOff>15081</xdr:rowOff>
    </xdr:to>
    <xdr:sp macro="" textlink="">
      <xdr:nvSpPr>
        <xdr:cNvPr id="165" name="직사각형 168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Grp="1"/>
        </xdr:cNvSpPr>
      </xdr:nvSpPr>
      <xdr:spPr>
        <a:xfrm>
          <a:off x="8817531" y="0"/>
          <a:ext cx="57325" cy="329406"/>
        </a:xfrm>
        <a:prstGeom prst="rect">
          <a:avLst/>
        </a:prstGeom>
        <a:solidFill>
          <a:srgbClr val="512E1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507276</xdr:colOff>
      <xdr:row>0</xdr:row>
      <xdr:rowOff>0</xdr:rowOff>
    </xdr:from>
    <xdr:to>
      <xdr:col>11</xdr:col>
      <xdr:colOff>564601</xdr:colOff>
      <xdr:row>3</xdr:row>
      <xdr:rowOff>15081</xdr:rowOff>
    </xdr:to>
    <xdr:sp macro="" textlink="">
      <xdr:nvSpPr>
        <xdr:cNvPr id="166" name="직사각형 169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Grp="1"/>
        </xdr:cNvSpPr>
      </xdr:nvSpPr>
      <xdr:spPr>
        <a:xfrm>
          <a:off x="8870226" y="0"/>
          <a:ext cx="57325" cy="329406"/>
        </a:xfrm>
        <a:prstGeom prst="rect">
          <a:avLst/>
        </a:prstGeom>
        <a:solidFill>
          <a:srgbClr val="4E2D1E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559971</xdr:colOff>
      <xdr:row>0</xdr:row>
      <xdr:rowOff>0</xdr:rowOff>
    </xdr:from>
    <xdr:to>
      <xdr:col>11</xdr:col>
      <xdr:colOff>617296</xdr:colOff>
      <xdr:row>3</xdr:row>
      <xdr:rowOff>15081</xdr:rowOff>
    </xdr:to>
    <xdr:sp macro="" textlink="">
      <xdr:nvSpPr>
        <xdr:cNvPr id="167" name="직사각형 170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Grp="1"/>
        </xdr:cNvSpPr>
      </xdr:nvSpPr>
      <xdr:spPr>
        <a:xfrm>
          <a:off x="8922921" y="0"/>
          <a:ext cx="57325" cy="329406"/>
        </a:xfrm>
        <a:prstGeom prst="rect">
          <a:avLst/>
        </a:prstGeom>
        <a:solidFill>
          <a:srgbClr val="4C2D1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612666</xdr:colOff>
      <xdr:row>0</xdr:row>
      <xdr:rowOff>0</xdr:rowOff>
    </xdr:from>
    <xdr:to>
      <xdr:col>11</xdr:col>
      <xdr:colOff>669991</xdr:colOff>
      <xdr:row>3</xdr:row>
      <xdr:rowOff>15081</xdr:rowOff>
    </xdr:to>
    <xdr:sp macro="" textlink="">
      <xdr:nvSpPr>
        <xdr:cNvPr id="168" name="직사각형 17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Grp="1"/>
        </xdr:cNvSpPr>
      </xdr:nvSpPr>
      <xdr:spPr>
        <a:xfrm>
          <a:off x="8975616" y="0"/>
          <a:ext cx="57325" cy="329406"/>
        </a:xfrm>
        <a:prstGeom prst="rect">
          <a:avLst/>
        </a:prstGeom>
        <a:solidFill>
          <a:srgbClr val="492C1F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665362</xdr:colOff>
      <xdr:row>0</xdr:row>
      <xdr:rowOff>0</xdr:rowOff>
    </xdr:from>
    <xdr:to>
      <xdr:col>11</xdr:col>
      <xdr:colOff>722687</xdr:colOff>
      <xdr:row>3</xdr:row>
      <xdr:rowOff>15081</xdr:rowOff>
    </xdr:to>
    <xdr:sp macro="" textlink="">
      <xdr:nvSpPr>
        <xdr:cNvPr id="169" name="직사각형 17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Grp="1"/>
        </xdr:cNvSpPr>
      </xdr:nvSpPr>
      <xdr:spPr>
        <a:xfrm>
          <a:off x="9028312" y="0"/>
          <a:ext cx="57325" cy="329406"/>
        </a:xfrm>
        <a:prstGeom prst="rect">
          <a:avLst/>
        </a:prstGeom>
        <a:solidFill>
          <a:srgbClr val="462C2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718057</xdr:colOff>
      <xdr:row>0</xdr:row>
      <xdr:rowOff>0</xdr:rowOff>
    </xdr:from>
    <xdr:to>
      <xdr:col>11</xdr:col>
      <xdr:colOff>775382</xdr:colOff>
      <xdr:row>3</xdr:row>
      <xdr:rowOff>15081</xdr:rowOff>
    </xdr:to>
    <xdr:sp macro="" textlink="">
      <xdr:nvSpPr>
        <xdr:cNvPr id="170" name="직사각형 17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Grp="1"/>
        </xdr:cNvSpPr>
      </xdr:nvSpPr>
      <xdr:spPr>
        <a:xfrm>
          <a:off x="9081007" y="0"/>
          <a:ext cx="57325" cy="329406"/>
        </a:xfrm>
        <a:prstGeom prst="rect">
          <a:avLst/>
        </a:prstGeom>
        <a:solidFill>
          <a:srgbClr val="442B20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770753</xdr:colOff>
      <xdr:row>0</xdr:row>
      <xdr:rowOff>0</xdr:rowOff>
    </xdr:from>
    <xdr:to>
      <xdr:col>11</xdr:col>
      <xdr:colOff>828078</xdr:colOff>
      <xdr:row>3</xdr:row>
      <xdr:rowOff>15081</xdr:rowOff>
    </xdr:to>
    <xdr:sp macro="" textlink="">
      <xdr:nvSpPr>
        <xdr:cNvPr id="171" name="직사각형 17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Grp="1"/>
        </xdr:cNvSpPr>
      </xdr:nvSpPr>
      <xdr:spPr>
        <a:xfrm>
          <a:off x="9133703" y="0"/>
          <a:ext cx="57325" cy="329406"/>
        </a:xfrm>
        <a:prstGeom prst="rect">
          <a:avLst/>
        </a:prstGeom>
        <a:solidFill>
          <a:srgbClr val="412B2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823448</xdr:colOff>
      <xdr:row>0</xdr:row>
      <xdr:rowOff>0</xdr:rowOff>
    </xdr:from>
    <xdr:to>
      <xdr:col>11</xdr:col>
      <xdr:colOff>880773</xdr:colOff>
      <xdr:row>3</xdr:row>
      <xdr:rowOff>15081</xdr:rowOff>
    </xdr:to>
    <xdr:sp macro="" textlink="">
      <xdr:nvSpPr>
        <xdr:cNvPr id="172" name="직사각형 175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Grp="1"/>
        </xdr:cNvSpPr>
      </xdr:nvSpPr>
      <xdr:spPr>
        <a:xfrm>
          <a:off x="9186398" y="0"/>
          <a:ext cx="57325" cy="329406"/>
        </a:xfrm>
        <a:prstGeom prst="rect">
          <a:avLst/>
        </a:prstGeom>
        <a:solidFill>
          <a:srgbClr val="3E2A21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876143</xdr:colOff>
      <xdr:row>0</xdr:row>
      <xdr:rowOff>0</xdr:rowOff>
    </xdr:from>
    <xdr:to>
      <xdr:col>11</xdr:col>
      <xdr:colOff>933468</xdr:colOff>
      <xdr:row>3</xdr:row>
      <xdr:rowOff>15081</xdr:rowOff>
    </xdr:to>
    <xdr:sp macro="" textlink="">
      <xdr:nvSpPr>
        <xdr:cNvPr id="173" name="직사각형 176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Grp="1"/>
        </xdr:cNvSpPr>
      </xdr:nvSpPr>
      <xdr:spPr>
        <a:xfrm>
          <a:off x="9239093" y="0"/>
          <a:ext cx="57325" cy="329406"/>
        </a:xfrm>
        <a:prstGeom prst="rect">
          <a:avLst/>
        </a:prstGeom>
        <a:solidFill>
          <a:srgbClr val="3B2A2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11</xdr:col>
      <xdr:colOff>928839</xdr:colOff>
      <xdr:row>0</xdr:row>
      <xdr:rowOff>0</xdr:rowOff>
    </xdr:from>
    <xdr:to>
      <xdr:col>12</xdr:col>
      <xdr:colOff>24139</xdr:colOff>
      <xdr:row>3</xdr:row>
      <xdr:rowOff>15081</xdr:rowOff>
    </xdr:to>
    <xdr:sp macro="" textlink="">
      <xdr:nvSpPr>
        <xdr:cNvPr id="174" name="직사각형 177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Grp="1"/>
        </xdr:cNvSpPr>
      </xdr:nvSpPr>
      <xdr:spPr>
        <a:xfrm>
          <a:off x="9291789" y="0"/>
          <a:ext cx="57325" cy="329406"/>
        </a:xfrm>
        <a:prstGeom prst="rect">
          <a:avLst/>
        </a:prstGeom>
        <a:solidFill>
          <a:srgbClr val="392922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19508</xdr:colOff>
      <xdr:row>0</xdr:row>
      <xdr:rowOff>0</xdr:rowOff>
    </xdr:from>
    <xdr:to>
      <xdr:col>12</xdr:col>
      <xdr:colOff>76833</xdr:colOff>
      <xdr:row>3</xdr:row>
      <xdr:rowOff>15081</xdr:rowOff>
    </xdr:to>
    <xdr:sp macro="" textlink="">
      <xdr:nvSpPr>
        <xdr:cNvPr id="175" name="직사각형 178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Grp="1"/>
        </xdr:cNvSpPr>
      </xdr:nvSpPr>
      <xdr:spPr>
        <a:xfrm>
          <a:off x="9344483" y="0"/>
          <a:ext cx="57325" cy="329406"/>
        </a:xfrm>
        <a:prstGeom prst="rect">
          <a:avLst/>
        </a:prstGeom>
        <a:solidFill>
          <a:srgbClr val="36292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72203</xdr:colOff>
      <xdr:row>0</xdr:row>
      <xdr:rowOff>0</xdr:rowOff>
    </xdr:from>
    <xdr:to>
      <xdr:col>12</xdr:col>
      <xdr:colOff>129528</xdr:colOff>
      <xdr:row>3</xdr:row>
      <xdr:rowOff>15081</xdr:rowOff>
    </xdr:to>
    <xdr:sp macro="" textlink="">
      <xdr:nvSpPr>
        <xdr:cNvPr id="176" name="직사각형 179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Grp="1"/>
        </xdr:cNvSpPr>
      </xdr:nvSpPr>
      <xdr:spPr>
        <a:xfrm>
          <a:off x="9397178" y="0"/>
          <a:ext cx="57325" cy="329406"/>
        </a:xfrm>
        <a:prstGeom prst="rect">
          <a:avLst/>
        </a:prstGeom>
        <a:solidFill>
          <a:srgbClr val="332823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124899</xdr:colOff>
      <xdr:row>0</xdr:row>
      <xdr:rowOff>0</xdr:rowOff>
    </xdr:from>
    <xdr:to>
      <xdr:col>12</xdr:col>
      <xdr:colOff>182224</xdr:colOff>
      <xdr:row>3</xdr:row>
      <xdr:rowOff>15081</xdr:rowOff>
    </xdr:to>
    <xdr:sp macro="" textlink="">
      <xdr:nvSpPr>
        <xdr:cNvPr id="177" name="직사각형 180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Grp="1"/>
        </xdr:cNvSpPr>
      </xdr:nvSpPr>
      <xdr:spPr>
        <a:xfrm>
          <a:off x="9449874" y="0"/>
          <a:ext cx="57325" cy="329406"/>
        </a:xfrm>
        <a:prstGeom prst="rect">
          <a:avLst/>
        </a:prstGeom>
        <a:solidFill>
          <a:srgbClr val="31282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177593</xdr:colOff>
      <xdr:row>0</xdr:row>
      <xdr:rowOff>0</xdr:rowOff>
    </xdr:from>
    <xdr:to>
      <xdr:col>12</xdr:col>
      <xdr:colOff>234919</xdr:colOff>
      <xdr:row>3</xdr:row>
      <xdr:rowOff>15081</xdr:rowOff>
    </xdr:to>
    <xdr:sp macro="" textlink="">
      <xdr:nvSpPr>
        <xdr:cNvPr id="178" name="직사각형 18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Grp="1"/>
        </xdr:cNvSpPr>
      </xdr:nvSpPr>
      <xdr:spPr>
        <a:xfrm>
          <a:off x="9502568" y="0"/>
          <a:ext cx="57326" cy="329406"/>
        </a:xfrm>
        <a:prstGeom prst="rect">
          <a:avLst/>
        </a:prstGeom>
        <a:solidFill>
          <a:srgbClr val="2E2724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230289</xdr:colOff>
      <xdr:row>0</xdr:row>
      <xdr:rowOff>0</xdr:rowOff>
    </xdr:from>
    <xdr:to>
      <xdr:col>12</xdr:col>
      <xdr:colOff>287614</xdr:colOff>
      <xdr:row>3</xdr:row>
      <xdr:rowOff>15081</xdr:rowOff>
    </xdr:to>
    <xdr:sp macro="" textlink="">
      <xdr:nvSpPr>
        <xdr:cNvPr id="179" name="직사각형 182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Grp="1"/>
        </xdr:cNvSpPr>
      </xdr:nvSpPr>
      <xdr:spPr>
        <a:xfrm>
          <a:off x="9555264" y="0"/>
          <a:ext cx="57325" cy="329406"/>
        </a:xfrm>
        <a:prstGeom prst="rect">
          <a:avLst/>
        </a:prstGeom>
        <a:solidFill>
          <a:srgbClr val="2B272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282985</xdr:colOff>
      <xdr:row>0</xdr:row>
      <xdr:rowOff>0</xdr:rowOff>
    </xdr:from>
    <xdr:to>
      <xdr:col>12</xdr:col>
      <xdr:colOff>340310</xdr:colOff>
      <xdr:row>3</xdr:row>
      <xdr:rowOff>15081</xdr:rowOff>
    </xdr:to>
    <xdr:sp macro="" textlink="">
      <xdr:nvSpPr>
        <xdr:cNvPr id="180" name="직사각형 183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Grp="1"/>
        </xdr:cNvSpPr>
      </xdr:nvSpPr>
      <xdr:spPr>
        <a:xfrm>
          <a:off x="9607960" y="0"/>
          <a:ext cx="57325" cy="329406"/>
        </a:xfrm>
        <a:prstGeom prst="rect">
          <a:avLst/>
        </a:prstGeom>
        <a:solidFill>
          <a:srgbClr val="292625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335680</xdr:colOff>
      <xdr:row>0</xdr:row>
      <xdr:rowOff>0</xdr:rowOff>
    </xdr:from>
    <xdr:to>
      <xdr:col>13</xdr:col>
      <xdr:colOff>0</xdr:colOff>
      <xdr:row>3</xdr:row>
      <xdr:rowOff>15081</xdr:rowOff>
    </xdr:to>
    <xdr:sp macro="" textlink="">
      <xdr:nvSpPr>
        <xdr:cNvPr id="181" name="직사각형 18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Grp="1"/>
        </xdr:cNvSpPr>
      </xdr:nvSpPr>
      <xdr:spPr>
        <a:xfrm>
          <a:off x="9660655" y="0"/>
          <a:ext cx="54845" cy="329406"/>
        </a:xfrm>
        <a:prstGeom prst="rect">
          <a:avLst/>
        </a:prstGeom>
        <a:solidFill>
          <a:srgbClr val="262626"/>
        </a:solidFill>
        <a:ln w="19050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0</xdr:colOff>
      <xdr:row>4</xdr:row>
      <xdr:rowOff>34925</xdr:rowOff>
    </xdr:from>
    <xdr:to>
      <xdr:col>3</xdr:col>
      <xdr:colOff>123031</xdr:colOff>
      <xdr:row>6</xdr:row>
      <xdr:rowOff>85865</xdr:rowOff>
    </xdr:to>
    <xdr:pic>
      <xdr:nvPicPr>
        <xdr:cNvPr id="191" name="/xl/media/image1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11</xdr:col>
      <xdr:colOff>279400</xdr:colOff>
      <xdr:row>4</xdr:row>
      <xdr:rowOff>47625</xdr:rowOff>
    </xdr:from>
    <xdr:to>
      <xdr:col>11</xdr:col>
      <xdr:colOff>711200</xdr:colOff>
      <xdr:row>7</xdr:row>
      <xdr:rowOff>29368</xdr:rowOff>
    </xdr:to>
    <xdr:pic>
      <xdr:nvPicPr>
        <xdr:cNvPr id="192" name="/xl/media/image2.pn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335788</xdr:colOff>
      <xdr:row>0</xdr:row>
      <xdr:rowOff>0</xdr:rowOff>
    </xdr:from>
    <xdr:to>
      <xdr:col>11</xdr:col>
      <xdr:colOff>1</xdr:colOff>
      <xdr:row>4</xdr:row>
      <xdr:rowOff>15081</xdr:rowOff>
    </xdr:to>
    <xdr:sp macro="" textlink="">
      <xdr:nvSpPr>
        <xdr:cNvPr id="2" name="D_GRAD_18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9641713" y="0"/>
          <a:ext cx="54738" cy="329406"/>
        </a:xfrm>
        <a:prstGeom prst="rect">
          <a:avLst/>
        </a:prstGeom>
        <a:solidFill>
          <a:srgbClr val="26262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283196</xdr:colOff>
      <xdr:row>0</xdr:row>
      <xdr:rowOff>0</xdr:rowOff>
    </xdr:from>
    <xdr:to>
      <xdr:col>10</xdr:col>
      <xdr:colOff>340409</xdr:colOff>
      <xdr:row>4</xdr:row>
      <xdr:rowOff>15081</xdr:rowOff>
    </xdr:to>
    <xdr:sp macro="" textlink="">
      <xdr:nvSpPr>
        <xdr:cNvPr id="3" name="D_GRAD_17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Grp="1"/>
        </xdr:cNvSpPr>
      </xdr:nvSpPr>
      <xdr:spPr>
        <a:xfrm>
          <a:off x="9589121" y="0"/>
          <a:ext cx="57213" cy="329406"/>
        </a:xfrm>
        <a:prstGeom prst="rect">
          <a:avLst/>
        </a:prstGeom>
        <a:solidFill>
          <a:srgbClr val="29262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230603</xdr:colOff>
      <xdr:row>0</xdr:row>
      <xdr:rowOff>0</xdr:rowOff>
    </xdr:from>
    <xdr:to>
      <xdr:col>10</xdr:col>
      <xdr:colOff>287816</xdr:colOff>
      <xdr:row>4</xdr:row>
      <xdr:rowOff>15081</xdr:rowOff>
    </xdr:to>
    <xdr:sp macro="" textlink="">
      <xdr:nvSpPr>
        <xdr:cNvPr id="4" name="D_GRAD_17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Grp="1"/>
        </xdr:cNvSpPr>
      </xdr:nvSpPr>
      <xdr:spPr>
        <a:xfrm>
          <a:off x="9536528" y="0"/>
          <a:ext cx="57213" cy="329406"/>
        </a:xfrm>
        <a:prstGeom prst="rect">
          <a:avLst/>
        </a:prstGeom>
        <a:solidFill>
          <a:srgbClr val="2B272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178011</xdr:colOff>
      <xdr:row>0</xdr:row>
      <xdr:rowOff>0</xdr:rowOff>
    </xdr:from>
    <xdr:to>
      <xdr:col>10</xdr:col>
      <xdr:colOff>235224</xdr:colOff>
      <xdr:row>4</xdr:row>
      <xdr:rowOff>15081</xdr:rowOff>
    </xdr:to>
    <xdr:sp macro="" textlink="">
      <xdr:nvSpPr>
        <xdr:cNvPr id="5" name="D_GRAD_17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Grp="1"/>
        </xdr:cNvSpPr>
      </xdr:nvSpPr>
      <xdr:spPr>
        <a:xfrm>
          <a:off x="9483936" y="0"/>
          <a:ext cx="57213" cy="329406"/>
        </a:xfrm>
        <a:prstGeom prst="rect">
          <a:avLst/>
        </a:prstGeom>
        <a:solidFill>
          <a:srgbClr val="2E272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125420</xdr:colOff>
      <xdr:row>0</xdr:row>
      <xdr:rowOff>0</xdr:rowOff>
    </xdr:from>
    <xdr:to>
      <xdr:col>10</xdr:col>
      <xdr:colOff>182633</xdr:colOff>
      <xdr:row>4</xdr:row>
      <xdr:rowOff>15081</xdr:rowOff>
    </xdr:to>
    <xdr:sp macro="" textlink="">
      <xdr:nvSpPr>
        <xdr:cNvPr id="6" name="D_GRAD_17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Grp="1"/>
        </xdr:cNvSpPr>
      </xdr:nvSpPr>
      <xdr:spPr>
        <a:xfrm>
          <a:off x="9431345" y="0"/>
          <a:ext cx="57213" cy="329406"/>
        </a:xfrm>
        <a:prstGeom prst="rect">
          <a:avLst/>
        </a:prstGeom>
        <a:solidFill>
          <a:srgbClr val="31282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72827</xdr:colOff>
      <xdr:row>0</xdr:row>
      <xdr:rowOff>0</xdr:rowOff>
    </xdr:from>
    <xdr:to>
      <xdr:col>10</xdr:col>
      <xdr:colOff>130040</xdr:colOff>
      <xdr:row>4</xdr:row>
      <xdr:rowOff>15081</xdr:rowOff>
    </xdr:to>
    <xdr:sp macro="" textlink="">
      <xdr:nvSpPr>
        <xdr:cNvPr id="7" name="D_GRAD_17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Grp="1"/>
        </xdr:cNvSpPr>
      </xdr:nvSpPr>
      <xdr:spPr>
        <a:xfrm>
          <a:off x="9378752" y="0"/>
          <a:ext cx="57213" cy="329406"/>
        </a:xfrm>
        <a:prstGeom prst="rect">
          <a:avLst/>
        </a:prstGeom>
        <a:solidFill>
          <a:srgbClr val="33282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10</xdr:col>
      <xdr:colOff>20236</xdr:colOff>
      <xdr:row>0</xdr:row>
      <xdr:rowOff>0</xdr:rowOff>
    </xdr:from>
    <xdr:to>
      <xdr:col>10</xdr:col>
      <xdr:colOff>77449</xdr:colOff>
      <xdr:row>4</xdr:row>
      <xdr:rowOff>15081</xdr:rowOff>
    </xdr:to>
    <xdr:sp macro="" textlink="">
      <xdr:nvSpPr>
        <xdr:cNvPr id="8" name="D_GRAD_17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Grp="1"/>
        </xdr:cNvSpPr>
      </xdr:nvSpPr>
      <xdr:spPr>
        <a:xfrm>
          <a:off x="9326161" y="0"/>
          <a:ext cx="57213" cy="329406"/>
        </a:xfrm>
        <a:prstGeom prst="rect">
          <a:avLst/>
        </a:prstGeom>
        <a:solidFill>
          <a:srgbClr val="36292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1034445</xdr:colOff>
      <xdr:row>0</xdr:row>
      <xdr:rowOff>0</xdr:rowOff>
    </xdr:from>
    <xdr:to>
      <xdr:col>10</xdr:col>
      <xdr:colOff>24857</xdr:colOff>
      <xdr:row>4</xdr:row>
      <xdr:rowOff>15081</xdr:rowOff>
    </xdr:to>
    <xdr:sp macro="" textlink="">
      <xdr:nvSpPr>
        <xdr:cNvPr id="9" name="D_GRAD_17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Grp="1"/>
        </xdr:cNvSpPr>
      </xdr:nvSpPr>
      <xdr:spPr>
        <a:xfrm>
          <a:off x="9273570" y="0"/>
          <a:ext cx="57212" cy="329406"/>
        </a:xfrm>
        <a:prstGeom prst="rect">
          <a:avLst/>
        </a:prstGeom>
        <a:solidFill>
          <a:srgbClr val="39292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981852</xdr:colOff>
      <xdr:row>0</xdr:row>
      <xdr:rowOff>0</xdr:rowOff>
    </xdr:from>
    <xdr:to>
      <xdr:col>9</xdr:col>
      <xdr:colOff>1039064</xdr:colOff>
      <xdr:row>4</xdr:row>
      <xdr:rowOff>15081</xdr:rowOff>
    </xdr:to>
    <xdr:sp macro="" textlink="">
      <xdr:nvSpPr>
        <xdr:cNvPr id="10" name="D_GRAD_17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Grp="1"/>
        </xdr:cNvSpPr>
      </xdr:nvSpPr>
      <xdr:spPr>
        <a:xfrm>
          <a:off x="9220977" y="0"/>
          <a:ext cx="57212" cy="329406"/>
        </a:xfrm>
        <a:prstGeom prst="rect">
          <a:avLst/>
        </a:prstGeom>
        <a:solidFill>
          <a:srgbClr val="3B2A2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929260</xdr:colOff>
      <xdr:row>0</xdr:row>
      <xdr:rowOff>0</xdr:rowOff>
    </xdr:from>
    <xdr:to>
      <xdr:col>9</xdr:col>
      <xdr:colOff>986473</xdr:colOff>
      <xdr:row>4</xdr:row>
      <xdr:rowOff>15081</xdr:rowOff>
    </xdr:to>
    <xdr:sp macro="" textlink="">
      <xdr:nvSpPr>
        <xdr:cNvPr id="11" name="D_GRAD_17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Grp="1"/>
        </xdr:cNvSpPr>
      </xdr:nvSpPr>
      <xdr:spPr>
        <a:xfrm>
          <a:off x="9168385" y="0"/>
          <a:ext cx="57213" cy="329406"/>
        </a:xfrm>
        <a:prstGeom prst="rect">
          <a:avLst/>
        </a:prstGeom>
        <a:solidFill>
          <a:srgbClr val="3E2A2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876669</xdr:colOff>
      <xdr:row>0</xdr:row>
      <xdr:rowOff>0</xdr:rowOff>
    </xdr:from>
    <xdr:to>
      <xdr:col>9</xdr:col>
      <xdr:colOff>933882</xdr:colOff>
      <xdr:row>4</xdr:row>
      <xdr:rowOff>15081</xdr:rowOff>
    </xdr:to>
    <xdr:sp macro="" textlink="">
      <xdr:nvSpPr>
        <xdr:cNvPr id="12" name="D_GRAD_17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Grp="1"/>
        </xdr:cNvSpPr>
      </xdr:nvSpPr>
      <xdr:spPr>
        <a:xfrm>
          <a:off x="9115794" y="0"/>
          <a:ext cx="57213" cy="329406"/>
        </a:xfrm>
        <a:prstGeom prst="rect">
          <a:avLst/>
        </a:prstGeom>
        <a:solidFill>
          <a:srgbClr val="412B2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824076</xdr:colOff>
      <xdr:row>0</xdr:row>
      <xdr:rowOff>0</xdr:rowOff>
    </xdr:from>
    <xdr:to>
      <xdr:col>9</xdr:col>
      <xdr:colOff>881289</xdr:colOff>
      <xdr:row>4</xdr:row>
      <xdr:rowOff>15081</xdr:rowOff>
    </xdr:to>
    <xdr:sp macro="" textlink="">
      <xdr:nvSpPr>
        <xdr:cNvPr id="13" name="D_GRAD_1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Grp="1"/>
        </xdr:cNvSpPr>
      </xdr:nvSpPr>
      <xdr:spPr>
        <a:xfrm>
          <a:off x="9063201" y="0"/>
          <a:ext cx="57213" cy="329406"/>
        </a:xfrm>
        <a:prstGeom prst="rect">
          <a:avLst/>
        </a:prstGeom>
        <a:solidFill>
          <a:srgbClr val="442B2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771484</xdr:colOff>
      <xdr:row>0</xdr:row>
      <xdr:rowOff>0</xdr:rowOff>
    </xdr:from>
    <xdr:to>
      <xdr:col>9</xdr:col>
      <xdr:colOff>828697</xdr:colOff>
      <xdr:row>4</xdr:row>
      <xdr:rowOff>15081</xdr:rowOff>
    </xdr:to>
    <xdr:sp macro="" textlink="">
      <xdr:nvSpPr>
        <xdr:cNvPr id="14" name="D_GRAD_16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Grp="1"/>
        </xdr:cNvSpPr>
      </xdr:nvSpPr>
      <xdr:spPr>
        <a:xfrm>
          <a:off x="9010609" y="0"/>
          <a:ext cx="57213" cy="329406"/>
        </a:xfrm>
        <a:prstGeom prst="rect">
          <a:avLst/>
        </a:prstGeom>
        <a:solidFill>
          <a:srgbClr val="462C2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718892</xdr:colOff>
      <xdr:row>0</xdr:row>
      <xdr:rowOff>0</xdr:rowOff>
    </xdr:from>
    <xdr:to>
      <xdr:col>9</xdr:col>
      <xdr:colOff>776105</xdr:colOff>
      <xdr:row>4</xdr:row>
      <xdr:rowOff>15081</xdr:rowOff>
    </xdr:to>
    <xdr:sp macro="" textlink="">
      <xdr:nvSpPr>
        <xdr:cNvPr id="15" name="D_GRAD_16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Grp="1"/>
        </xdr:cNvSpPr>
      </xdr:nvSpPr>
      <xdr:spPr>
        <a:xfrm>
          <a:off x="8958017" y="0"/>
          <a:ext cx="57213" cy="329406"/>
        </a:xfrm>
        <a:prstGeom prst="rect">
          <a:avLst/>
        </a:prstGeom>
        <a:solidFill>
          <a:srgbClr val="492C1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666300</xdr:colOff>
      <xdr:row>0</xdr:row>
      <xdr:rowOff>0</xdr:rowOff>
    </xdr:from>
    <xdr:to>
      <xdr:col>9</xdr:col>
      <xdr:colOff>723513</xdr:colOff>
      <xdr:row>4</xdr:row>
      <xdr:rowOff>15081</xdr:rowOff>
    </xdr:to>
    <xdr:sp macro="" textlink="">
      <xdr:nvSpPr>
        <xdr:cNvPr id="16" name="D_GRAD_16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Grp="1"/>
        </xdr:cNvSpPr>
      </xdr:nvSpPr>
      <xdr:spPr>
        <a:xfrm>
          <a:off x="8905425" y="0"/>
          <a:ext cx="57213" cy="329406"/>
        </a:xfrm>
        <a:prstGeom prst="rect">
          <a:avLst/>
        </a:prstGeom>
        <a:solidFill>
          <a:srgbClr val="4C2D1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613708</xdr:colOff>
      <xdr:row>0</xdr:row>
      <xdr:rowOff>0</xdr:rowOff>
    </xdr:from>
    <xdr:to>
      <xdr:col>9</xdr:col>
      <xdr:colOff>670921</xdr:colOff>
      <xdr:row>4</xdr:row>
      <xdr:rowOff>15081</xdr:rowOff>
    </xdr:to>
    <xdr:sp macro="" textlink="">
      <xdr:nvSpPr>
        <xdr:cNvPr id="17" name="D_GRAD_16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Grp="1"/>
        </xdr:cNvSpPr>
      </xdr:nvSpPr>
      <xdr:spPr>
        <a:xfrm>
          <a:off x="8852833" y="0"/>
          <a:ext cx="57213" cy="329406"/>
        </a:xfrm>
        <a:prstGeom prst="rect">
          <a:avLst/>
        </a:prstGeom>
        <a:solidFill>
          <a:srgbClr val="4E2D1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561116</xdr:colOff>
      <xdr:row>0</xdr:row>
      <xdr:rowOff>0</xdr:rowOff>
    </xdr:from>
    <xdr:to>
      <xdr:col>9</xdr:col>
      <xdr:colOff>618329</xdr:colOff>
      <xdr:row>4</xdr:row>
      <xdr:rowOff>15081</xdr:rowOff>
    </xdr:to>
    <xdr:sp macro="" textlink="">
      <xdr:nvSpPr>
        <xdr:cNvPr id="18" name="D_GRAD_164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Grp="1"/>
        </xdr:cNvSpPr>
      </xdr:nvSpPr>
      <xdr:spPr>
        <a:xfrm>
          <a:off x="8800241" y="0"/>
          <a:ext cx="57213" cy="329406"/>
        </a:xfrm>
        <a:prstGeom prst="rect">
          <a:avLst/>
        </a:prstGeom>
        <a:solidFill>
          <a:srgbClr val="512E1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508524</xdr:colOff>
      <xdr:row>0</xdr:row>
      <xdr:rowOff>0</xdr:rowOff>
    </xdr:from>
    <xdr:to>
      <xdr:col>9</xdr:col>
      <xdr:colOff>565737</xdr:colOff>
      <xdr:row>4</xdr:row>
      <xdr:rowOff>15081</xdr:rowOff>
    </xdr:to>
    <xdr:sp macro="" textlink="">
      <xdr:nvSpPr>
        <xdr:cNvPr id="19" name="D_GRAD_16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Grp="1"/>
        </xdr:cNvSpPr>
      </xdr:nvSpPr>
      <xdr:spPr>
        <a:xfrm>
          <a:off x="8747649" y="0"/>
          <a:ext cx="57213" cy="329406"/>
        </a:xfrm>
        <a:prstGeom prst="rect">
          <a:avLst/>
        </a:prstGeom>
        <a:solidFill>
          <a:srgbClr val="542E1D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455931</xdr:colOff>
      <xdr:row>0</xdr:row>
      <xdr:rowOff>0</xdr:rowOff>
    </xdr:from>
    <xdr:to>
      <xdr:col>9</xdr:col>
      <xdr:colOff>513145</xdr:colOff>
      <xdr:row>4</xdr:row>
      <xdr:rowOff>15081</xdr:rowOff>
    </xdr:to>
    <xdr:sp macro="" textlink="">
      <xdr:nvSpPr>
        <xdr:cNvPr id="20" name="D_GRAD_16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Grp="1"/>
        </xdr:cNvSpPr>
      </xdr:nvSpPr>
      <xdr:spPr>
        <a:xfrm>
          <a:off x="8695056" y="0"/>
          <a:ext cx="57214" cy="329406"/>
        </a:xfrm>
        <a:prstGeom prst="rect">
          <a:avLst/>
        </a:prstGeom>
        <a:solidFill>
          <a:srgbClr val="562F1D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405816</xdr:colOff>
      <xdr:row>0</xdr:row>
      <xdr:rowOff>0</xdr:rowOff>
    </xdr:from>
    <xdr:to>
      <xdr:col>9</xdr:col>
      <xdr:colOff>460553</xdr:colOff>
      <xdr:row>4</xdr:row>
      <xdr:rowOff>15081</xdr:rowOff>
    </xdr:to>
    <xdr:sp macro="" textlink="">
      <xdr:nvSpPr>
        <xdr:cNvPr id="21" name="D_GRAD_16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Grp="1"/>
        </xdr:cNvSpPr>
      </xdr:nvSpPr>
      <xdr:spPr>
        <a:xfrm>
          <a:off x="8644941" y="0"/>
          <a:ext cx="54737" cy="329406"/>
        </a:xfrm>
        <a:prstGeom prst="rect">
          <a:avLst/>
        </a:prstGeom>
        <a:solidFill>
          <a:srgbClr val="592F1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353224</xdr:colOff>
      <xdr:row>0</xdr:row>
      <xdr:rowOff>0</xdr:rowOff>
    </xdr:from>
    <xdr:to>
      <xdr:col>9</xdr:col>
      <xdr:colOff>410437</xdr:colOff>
      <xdr:row>4</xdr:row>
      <xdr:rowOff>15081</xdr:rowOff>
    </xdr:to>
    <xdr:sp macro="" textlink="">
      <xdr:nvSpPr>
        <xdr:cNvPr id="22" name="D_GRAD_160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Grp="1"/>
        </xdr:cNvSpPr>
      </xdr:nvSpPr>
      <xdr:spPr>
        <a:xfrm>
          <a:off x="8592349" y="0"/>
          <a:ext cx="57213" cy="329406"/>
        </a:xfrm>
        <a:prstGeom prst="rect">
          <a:avLst/>
        </a:prstGeom>
        <a:solidFill>
          <a:srgbClr val="5C301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300632</xdr:colOff>
      <xdr:row>0</xdr:row>
      <xdr:rowOff>0</xdr:rowOff>
    </xdr:from>
    <xdr:to>
      <xdr:col>9</xdr:col>
      <xdr:colOff>357845</xdr:colOff>
      <xdr:row>4</xdr:row>
      <xdr:rowOff>15081</xdr:rowOff>
    </xdr:to>
    <xdr:sp macro="" textlink="">
      <xdr:nvSpPr>
        <xdr:cNvPr id="23" name="D_GRAD_15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Grp="1"/>
        </xdr:cNvSpPr>
      </xdr:nvSpPr>
      <xdr:spPr>
        <a:xfrm>
          <a:off x="8539757" y="0"/>
          <a:ext cx="57213" cy="329406"/>
        </a:xfrm>
        <a:prstGeom prst="rect">
          <a:avLst/>
        </a:prstGeom>
        <a:solidFill>
          <a:srgbClr val="5E301B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248041</xdr:colOff>
      <xdr:row>0</xdr:row>
      <xdr:rowOff>0</xdr:rowOff>
    </xdr:from>
    <xdr:to>
      <xdr:col>9</xdr:col>
      <xdr:colOff>305253</xdr:colOff>
      <xdr:row>4</xdr:row>
      <xdr:rowOff>15081</xdr:rowOff>
    </xdr:to>
    <xdr:sp macro="" textlink="">
      <xdr:nvSpPr>
        <xdr:cNvPr id="24" name="D_GRAD_158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Grp="1"/>
        </xdr:cNvSpPr>
      </xdr:nvSpPr>
      <xdr:spPr>
        <a:xfrm>
          <a:off x="8487166" y="0"/>
          <a:ext cx="57212" cy="329406"/>
        </a:xfrm>
        <a:prstGeom prst="rect">
          <a:avLst/>
        </a:prstGeom>
        <a:solidFill>
          <a:srgbClr val="61311B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195448</xdr:colOff>
      <xdr:row>0</xdr:row>
      <xdr:rowOff>0</xdr:rowOff>
    </xdr:from>
    <xdr:to>
      <xdr:col>9</xdr:col>
      <xdr:colOff>252661</xdr:colOff>
      <xdr:row>4</xdr:row>
      <xdr:rowOff>15081</xdr:rowOff>
    </xdr:to>
    <xdr:sp macro="" textlink="">
      <xdr:nvSpPr>
        <xdr:cNvPr id="25" name="D_GRAD_15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Grp="1"/>
        </xdr:cNvSpPr>
      </xdr:nvSpPr>
      <xdr:spPr>
        <a:xfrm>
          <a:off x="8434573" y="0"/>
          <a:ext cx="57213" cy="329406"/>
        </a:xfrm>
        <a:prstGeom prst="rect">
          <a:avLst/>
        </a:prstGeom>
        <a:solidFill>
          <a:srgbClr val="64311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142857</xdr:colOff>
      <xdr:row>0</xdr:row>
      <xdr:rowOff>0</xdr:rowOff>
    </xdr:from>
    <xdr:to>
      <xdr:col>9</xdr:col>
      <xdr:colOff>200070</xdr:colOff>
      <xdr:row>4</xdr:row>
      <xdr:rowOff>15081</xdr:rowOff>
    </xdr:to>
    <xdr:sp macro="" textlink="">
      <xdr:nvSpPr>
        <xdr:cNvPr id="26" name="D_GRAD_15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Grp="1"/>
        </xdr:cNvSpPr>
      </xdr:nvSpPr>
      <xdr:spPr>
        <a:xfrm>
          <a:off x="8381982" y="0"/>
          <a:ext cx="57213" cy="329406"/>
        </a:xfrm>
        <a:prstGeom prst="rect">
          <a:avLst/>
        </a:prstGeom>
        <a:solidFill>
          <a:srgbClr val="66311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90264</xdr:colOff>
      <xdr:row>0</xdr:row>
      <xdr:rowOff>0</xdr:rowOff>
    </xdr:from>
    <xdr:to>
      <xdr:col>9</xdr:col>
      <xdr:colOff>147477</xdr:colOff>
      <xdr:row>4</xdr:row>
      <xdr:rowOff>15081</xdr:rowOff>
    </xdr:to>
    <xdr:sp macro="" textlink="">
      <xdr:nvSpPr>
        <xdr:cNvPr id="27" name="D_GRAD_15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Grp="1"/>
        </xdr:cNvSpPr>
      </xdr:nvSpPr>
      <xdr:spPr>
        <a:xfrm>
          <a:off x="8329389" y="0"/>
          <a:ext cx="57213" cy="329406"/>
        </a:xfrm>
        <a:prstGeom prst="rect">
          <a:avLst/>
        </a:prstGeom>
        <a:solidFill>
          <a:srgbClr val="69321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9</xdr:col>
      <xdr:colOff>37671</xdr:colOff>
      <xdr:row>0</xdr:row>
      <xdr:rowOff>0</xdr:rowOff>
    </xdr:from>
    <xdr:to>
      <xdr:col>9</xdr:col>
      <xdr:colOff>94884</xdr:colOff>
      <xdr:row>4</xdr:row>
      <xdr:rowOff>15081</xdr:rowOff>
    </xdr:to>
    <xdr:sp macro="" textlink="">
      <xdr:nvSpPr>
        <xdr:cNvPr id="28" name="D_GRAD_15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Grp="1"/>
        </xdr:cNvSpPr>
      </xdr:nvSpPr>
      <xdr:spPr>
        <a:xfrm>
          <a:off x="8276796" y="0"/>
          <a:ext cx="57213" cy="329406"/>
        </a:xfrm>
        <a:prstGeom prst="rect">
          <a:avLst/>
        </a:prstGeom>
        <a:solidFill>
          <a:srgbClr val="6C321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899480</xdr:colOff>
      <xdr:row>0</xdr:row>
      <xdr:rowOff>0</xdr:rowOff>
    </xdr:from>
    <xdr:to>
      <xdr:col>9</xdr:col>
      <xdr:colOff>42293</xdr:colOff>
      <xdr:row>4</xdr:row>
      <xdr:rowOff>15081</xdr:rowOff>
    </xdr:to>
    <xdr:sp macro="" textlink="">
      <xdr:nvSpPr>
        <xdr:cNvPr id="29" name="D_GRAD_15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Grp="1"/>
        </xdr:cNvSpPr>
      </xdr:nvSpPr>
      <xdr:spPr>
        <a:xfrm>
          <a:off x="8224205" y="0"/>
          <a:ext cx="57213" cy="329406"/>
        </a:xfrm>
        <a:prstGeom prst="rect">
          <a:avLst/>
        </a:prstGeom>
        <a:solidFill>
          <a:srgbClr val="6F331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846888</xdr:colOff>
      <xdr:row>0</xdr:row>
      <xdr:rowOff>0</xdr:rowOff>
    </xdr:from>
    <xdr:to>
      <xdr:col>8</xdr:col>
      <xdr:colOff>904101</xdr:colOff>
      <xdr:row>4</xdr:row>
      <xdr:rowOff>15081</xdr:rowOff>
    </xdr:to>
    <xdr:sp macro="" textlink="">
      <xdr:nvSpPr>
        <xdr:cNvPr id="30" name="D_GRAD_15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Grp="1"/>
        </xdr:cNvSpPr>
      </xdr:nvSpPr>
      <xdr:spPr>
        <a:xfrm>
          <a:off x="8171613" y="0"/>
          <a:ext cx="57213" cy="329406"/>
        </a:xfrm>
        <a:prstGeom prst="rect">
          <a:avLst/>
        </a:prstGeom>
        <a:solidFill>
          <a:srgbClr val="71331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794296</xdr:colOff>
      <xdr:row>0</xdr:row>
      <xdr:rowOff>0</xdr:rowOff>
    </xdr:from>
    <xdr:to>
      <xdr:col>8</xdr:col>
      <xdr:colOff>851508</xdr:colOff>
      <xdr:row>4</xdr:row>
      <xdr:rowOff>15081</xdr:rowOff>
    </xdr:to>
    <xdr:sp macro="" textlink="">
      <xdr:nvSpPr>
        <xdr:cNvPr id="31" name="D_GRAD_15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Grp="1"/>
        </xdr:cNvSpPr>
      </xdr:nvSpPr>
      <xdr:spPr>
        <a:xfrm>
          <a:off x="8119021" y="0"/>
          <a:ext cx="57212" cy="329406"/>
        </a:xfrm>
        <a:prstGeom prst="rect">
          <a:avLst/>
        </a:prstGeom>
        <a:solidFill>
          <a:srgbClr val="74341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741704</xdr:colOff>
      <xdr:row>0</xdr:row>
      <xdr:rowOff>0</xdr:rowOff>
    </xdr:from>
    <xdr:to>
      <xdr:col>8</xdr:col>
      <xdr:colOff>798917</xdr:colOff>
      <xdr:row>4</xdr:row>
      <xdr:rowOff>15081</xdr:rowOff>
    </xdr:to>
    <xdr:sp macro="" textlink="">
      <xdr:nvSpPr>
        <xdr:cNvPr id="32" name="D_GRAD_150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Grp="1"/>
        </xdr:cNvSpPr>
      </xdr:nvSpPr>
      <xdr:spPr>
        <a:xfrm>
          <a:off x="8066429" y="0"/>
          <a:ext cx="57213" cy="329406"/>
        </a:xfrm>
        <a:prstGeom prst="rect">
          <a:avLst/>
        </a:prstGeom>
        <a:solidFill>
          <a:srgbClr val="77341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689112</xdr:colOff>
      <xdr:row>0</xdr:row>
      <xdr:rowOff>0</xdr:rowOff>
    </xdr:from>
    <xdr:to>
      <xdr:col>8</xdr:col>
      <xdr:colOff>746325</xdr:colOff>
      <xdr:row>4</xdr:row>
      <xdr:rowOff>15081</xdr:rowOff>
    </xdr:to>
    <xdr:sp macro="" textlink="">
      <xdr:nvSpPr>
        <xdr:cNvPr id="33" name="D_GRAD_149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Grp="1"/>
        </xdr:cNvSpPr>
      </xdr:nvSpPr>
      <xdr:spPr>
        <a:xfrm>
          <a:off x="8013837" y="0"/>
          <a:ext cx="57213" cy="329406"/>
        </a:xfrm>
        <a:prstGeom prst="rect">
          <a:avLst/>
        </a:prstGeom>
        <a:solidFill>
          <a:srgbClr val="79351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636520</xdr:colOff>
      <xdr:row>0</xdr:row>
      <xdr:rowOff>0</xdr:rowOff>
    </xdr:from>
    <xdr:to>
      <xdr:col>8</xdr:col>
      <xdr:colOff>693733</xdr:colOff>
      <xdr:row>4</xdr:row>
      <xdr:rowOff>15081</xdr:rowOff>
    </xdr:to>
    <xdr:sp macro="" textlink="">
      <xdr:nvSpPr>
        <xdr:cNvPr id="34" name="D_GRAD_148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Grp="1"/>
        </xdr:cNvSpPr>
      </xdr:nvSpPr>
      <xdr:spPr>
        <a:xfrm>
          <a:off x="7961245" y="0"/>
          <a:ext cx="57213" cy="329406"/>
        </a:xfrm>
        <a:prstGeom prst="rect">
          <a:avLst/>
        </a:prstGeom>
        <a:solidFill>
          <a:srgbClr val="7C351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583927</xdr:colOff>
      <xdr:row>0</xdr:row>
      <xdr:rowOff>0</xdr:rowOff>
    </xdr:from>
    <xdr:to>
      <xdr:col>8</xdr:col>
      <xdr:colOff>641141</xdr:colOff>
      <xdr:row>4</xdr:row>
      <xdr:rowOff>15081</xdr:rowOff>
    </xdr:to>
    <xdr:sp macro="" textlink="">
      <xdr:nvSpPr>
        <xdr:cNvPr id="35" name="D_GRAD_14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Grp="1"/>
        </xdr:cNvSpPr>
      </xdr:nvSpPr>
      <xdr:spPr>
        <a:xfrm>
          <a:off x="7908652" y="0"/>
          <a:ext cx="57214" cy="329406"/>
        </a:xfrm>
        <a:prstGeom prst="rect">
          <a:avLst/>
        </a:prstGeom>
        <a:solidFill>
          <a:srgbClr val="7F361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531337</xdr:colOff>
      <xdr:row>0</xdr:row>
      <xdr:rowOff>0</xdr:rowOff>
    </xdr:from>
    <xdr:to>
      <xdr:col>8</xdr:col>
      <xdr:colOff>588550</xdr:colOff>
      <xdr:row>4</xdr:row>
      <xdr:rowOff>15081</xdr:rowOff>
    </xdr:to>
    <xdr:sp macro="" textlink="">
      <xdr:nvSpPr>
        <xdr:cNvPr id="36" name="D_GRAD_14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Grp="1"/>
        </xdr:cNvSpPr>
      </xdr:nvSpPr>
      <xdr:spPr>
        <a:xfrm>
          <a:off x="7856062" y="0"/>
          <a:ext cx="57213" cy="329406"/>
        </a:xfrm>
        <a:prstGeom prst="rect">
          <a:avLst/>
        </a:prstGeom>
        <a:solidFill>
          <a:srgbClr val="81361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478744</xdr:colOff>
      <xdr:row>0</xdr:row>
      <xdr:rowOff>0</xdr:rowOff>
    </xdr:from>
    <xdr:to>
      <xdr:col>8</xdr:col>
      <xdr:colOff>535957</xdr:colOff>
      <xdr:row>4</xdr:row>
      <xdr:rowOff>15081</xdr:rowOff>
    </xdr:to>
    <xdr:sp macro="" textlink="">
      <xdr:nvSpPr>
        <xdr:cNvPr id="37" name="D_GRAD_14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Grp="1"/>
        </xdr:cNvSpPr>
      </xdr:nvSpPr>
      <xdr:spPr>
        <a:xfrm>
          <a:off x="7803469" y="0"/>
          <a:ext cx="57213" cy="329406"/>
        </a:xfrm>
        <a:prstGeom prst="rect">
          <a:avLst/>
        </a:prstGeom>
        <a:solidFill>
          <a:srgbClr val="84371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426152</xdr:colOff>
      <xdr:row>0</xdr:row>
      <xdr:rowOff>0</xdr:rowOff>
    </xdr:from>
    <xdr:to>
      <xdr:col>8</xdr:col>
      <xdr:colOff>483364</xdr:colOff>
      <xdr:row>4</xdr:row>
      <xdr:rowOff>15081</xdr:rowOff>
    </xdr:to>
    <xdr:sp macro="" textlink="">
      <xdr:nvSpPr>
        <xdr:cNvPr id="38" name="D_GRAD_144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Grp="1"/>
        </xdr:cNvSpPr>
      </xdr:nvSpPr>
      <xdr:spPr>
        <a:xfrm>
          <a:off x="7750877" y="0"/>
          <a:ext cx="57212" cy="329406"/>
        </a:xfrm>
        <a:prstGeom prst="rect">
          <a:avLst/>
        </a:prstGeom>
        <a:solidFill>
          <a:srgbClr val="87371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373562</xdr:colOff>
      <xdr:row>0</xdr:row>
      <xdr:rowOff>0</xdr:rowOff>
    </xdr:from>
    <xdr:to>
      <xdr:col>8</xdr:col>
      <xdr:colOff>430774</xdr:colOff>
      <xdr:row>4</xdr:row>
      <xdr:rowOff>15081</xdr:rowOff>
    </xdr:to>
    <xdr:sp macro="" textlink="">
      <xdr:nvSpPr>
        <xdr:cNvPr id="39" name="D_GRAD_143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Grp="1"/>
        </xdr:cNvSpPr>
      </xdr:nvSpPr>
      <xdr:spPr>
        <a:xfrm>
          <a:off x="7698287" y="0"/>
          <a:ext cx="57212" cy="329406"/>
        </a:xfrm>
        <a:prstGeom prst="rect">
          <a:avLst/>
        </a:prstGeom>
        <a:solidFill>
          <a:srgbClr val="89381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320970</xdr:colOff>
      <xdr:row>0</xdr:row>
      <xdr:rowOff>0</xdr:rowOff>
    </xdr:from>
    <xdr:to>
      <xdr:col>8</xdr:col>
      <xdr:colOff>378182</xdr:colOff>
      <xdr:row>4</xdr:row>
      <xdr:rowOff>15081</xdr:rowOff>
    </xdr:to>
    <xdr:sp macro="" textlink="">
      <xdr:nvSpPr>
        <xdr:cNvPr id="40" name="D_GRAD_14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Grp="1"/>
        </xdr:cNvSpPr>
      </xdr:nvSpPr>
      <xdr:spPr>
        <a:xfrm>
          <a:off x="7645695" y="0"/>
          <a:ext cx="57212" cy="329406"/>
        </a:xfrm>
        <a:prstGeom prst="rect">
          <a:avLst/>
        </a:prstGeom>
        <a:solidFill>
          <a:srgbClr val="8C381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268377</xdr:colOff>
      <xdr:row>0</xdr:row>
      <xdr:rowOff>0</xdr:rowOff>
    </xdr:from>
    <xdr:to>
      <xdr:col>8</xdr:col>
      <xdr:colOff>325590</xdr:colOff>
      <xdr:row>4</xdr:row>
      <xdr:rowOff>15081</xdr:rowOff>
    </xdr:to>
    <xdr:sp macro="" textlink="">
      <xdr:nvSpPr>
        <xdr:cNvPr id="41" name="D_GRAD_14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Grp="1"/>
        </xdr:cNvSpPr>
      </xdr:nvSpPr>
      <xdr:spPr>
        <a:xfrm>
          <a:off x="7593102" y="0"/>
          <a:ext cx="57213" cy="329406"/>
        </a:xfrm>
        <a:prstGeom prst="rect">
          <a:avLst/>
        </a:prstGeom>
        <a:solidFill>
          <a:srgbClr val="8F391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215785</xdr:colOff>
      <xdr:row>0</xdr:row>
      <xdr:rowOff>0</xdr:rowOff>
    </xdr:from>
    <xdr:to>
      <xdr:col>8</xdr:col>
      <xdr:colOff>272997</xdr:colOff>
      <xdr:row>4</xdr:row>
      <xdr:rowOff>15081</xdr:rowOff>
    </xdr:to>
    <xdr:sp macro="" textlink="">
      <xdr:nvSpPr>
        <xdr:cNvPr id="42" name="D_GRAD_140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Grp="1"/>
        </xdr:cNvSpPr>
      </xdr:nvSpPr>
      <xdr:spPr>
        <a:xfrm>
          <a:off x="7540510" y="0"/>
          <a:ext cx="57212" cy="329406"/>
        </a:xfrm>
        <a:prstGeom prst="rect">
          <a:avLst/>
        </a:prstGeom>
        <a:solidFill>
          <a:srgbClr val="91391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163192</xdr:colOff>
      <xdr:row>0</xdr:row>
      <xdr:rowOff>0</xdr:rowOff>
    </xdr:from>
    <xdr:to>
      <xdr:col>8</xdr:col>
      <xdr:colOff>220405</xdr:colOff>
      <xdr:row>4</xdr:row>
      <xdr:rowOff>15081</xdr:rowOff>
    </xdr:to>
    <xdr:sp macro="" textlink="">
      <xdr:nvSpPr>
        <xdr:cNvPr id="43" name="D_GRAD_13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Grp="1"/>
        </xdr:cNvSpPr>
      </xdr:nvSpPr>
      <xdr:spPr>
        <a:xfrm>
          <a:off x="7487917" y="0"/>
          <a:ext cx="57213" cy="329406"/>
        </a:xfrm>
        <a:prstGeom prst="rect">
          <a:avLst/>
        </a:prstGeom>
        <a:solidFill>
          <a:srgbClr val="943A1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110601</xdr:colOff>
      <xdr:row>0</xdr:row>
      <xdr:rowOff>0</xdr:rowOff>
    </xdr:from>
    <xdr:to>
      <xdr:col>8</xdr:col>
      <xdr:colOff>167814</xdr:colOff>
      <xdr:row>4</xdr:row>
      <xdr:rowOff>15081</xdr:rowOff>
    </xdr:to>
    <xdr:sp macro="" textlink="">
      <xdr:nvSpPr>
        <xdr:cNvPr id="44" name="D_GRAD_138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Grp="1"/>
        </xdr:cNvSpPr>
      </xdr:nvSpPr>
      <xdr:spPr>
        <a:xfrm>
          <a:off x="7435326" y="0"/>
          <a:ext cx="57213" cy="329406"/>
        </a:xfrm>
        <a:prstGeom prst="rect">
          <a:avLst/>
        </a:prstGeom>
        <a:solidFill>
          <a:srgbClr val="973A1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58008</xdr:colOff>
      <xdr:row>0</xdr:row>
      <xdr:rowOff>0</xdr:rowOff>
    </xdr:from>
    <xdr:to>
      <xdr:col>8</xdr:col>
      <xdr:colOff>115221</xdr:colOff>
      <xdr:row>4</xdr:row>
      <xdr:rowOff>15081</xdr:rowOff>
    </xdr:to>
    <xdr:sp macro="" textlink="">
      <xdr:nvSpPr>
        <xdr:cNvPr id="45" name="D_GRAD_137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Grp="1"/>
        </xdr:cNvSpPr>
      </xdr:nvSpPr>
      <xdr:spPr>
        <a:xfrm>
          <a:off x="7382733" y="0"/>
          <a:ext cx="57213" cy="329406"/>
        </a:xfrm>
        <a:prstGeom prst="rect">
          <a:avLst/>
        </a:prstGeom>
        <a:solidFill>
          <a:srgbClr val="9A3B1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8</xdr:col>
      <xdr:colOff>5417</xdr:colOff>
      <xdr:row>0</xdr:row>
      <xdr:rowOff>0</xdr:rowOff>
    </xdr:from>
    <xdr:to>
      <xdr:col>8</xdr:col>
      <xdr:colOff>62630</xdr:colOff>
      <xdr:row>4</xdr:row>
      <xdr:rowOff>15081</xdr:rowOff>
    </xdr:to>
    <xdr:sp macro="" textlink="">
      <xdr:nvSpPr>
        <xdr:cNvPr id="46" name="D_GRAD_13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Grp="1"/>
        </xdr:cNvSpPr>
      </xdr:nvSpPr>
      <xdr:spPr>
        <a:xfrm>
          <a:off x="7330142" y="0"/>
          <a:ext cx="57213" cy="329406"/>
        </a:xfrm>
        <a:prstGeom prst="rect">
          <a:avLst/>
        </a:prstGeom>
        <a:solidFill>
          <a:srgbClr val="9C3B1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562425</xdr:colOff>
      <xdr:row>0</xdr:row>
      <xdr:rowOff>0</xdr:rowOff>
    </xdr:from>
    <xdr:to>
      <xdr:col>8</xdr:col>
      <xdr:colOff>10038</xdr:colOff>
      <xdr:row>4</xdr:row>
      <xdr:rowOff>15081</xdr:rowOff>
    </xdr:to>
    <xdr:sp macro="" textlink="">
      <xdr:nvSpPr>
        <xdr:cNvPr id="47" name="D_GRAD_135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Grp="1"/>
        </xdr:cNvSpPr>
      </xdr:nvSpPr>
      <xdr:spPr>
        <a:xfrm>
          <a:off x="7277550" y="0"/>
          <a:ext cx="57213" cy="329406"/>
        </a:xfrm>
        <a:prstGeom prst="rect">
          <a:avLst/>
        </a:prstGeom>
        <a:solidFill>
          <a:srgbClr val="9F3C0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509832</xdr:colOff>
      <xdr:row>0</xdr:row>
      <xdr:rowOff>0</xdr:rowOff>
    </xdr:from>
    <xdr:to>
      <xdr:col>7</xdr:col>
      <xdr:colOff>567045</xdr:colOff>
      <xdr:row>4</xdr:row>
      <xdr:rowOff>15081</xdr:rowOff>
    </xdr:to>
    <xdr:sp macro="" textlink="">
      <xdr:nvSpPr>
        <xdr:cNvPr id="48" name="D_GRAD_134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Grp="1"/>
        </xdr:cNvSpPr>
      </xdr:nvSpPr>
      <xdr:spPr>
        <a:xfrm>
          <a:off x="7224957" y="0"/>
          <a:ext cx="57213" cy="329406"/>
        </a:xfrm>
        <a:prstGeom prst="rect">
          <a:avLst/>
        </a:prstGeom>
        <a:solidFill>
          <a:srgbClr val="A23C0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457240</xdr:colOff>
      <xdr:row>0</xdr:row>
      <xdr:rowOff>0</xdr:rowOff>
    </xdr:from>
    <xdr:to>
      <xdr:col>7</xdr:col>
      <xdr:colOff>514453</xdr:colOff>
      <xdr:row>4</xdr:row>
      <xdr:rowOff>15081</xdr:rowOff>
    </xdr:to>
    <xdr:sp macro="" textlink="">
      <xdr:nvSpPr>
        <xdr:cNvPr id="49" name="D_GRAD_13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Grp="1"/>
        </xdr:cNvSpPr>
      </xdr:nvSpPr>
      <xdr:spPr>
        <a:xfrm>
          <a:off x="7172365" y="0"/>
          <a:ext cx="57213" cy="329406"/>
        </a:xfrm>
        <a:prstGeom prst="rect">
          <a:avLst/>
        </a:prstGeom>
        <a:solidFill>
          <a:srgbClr val="A43D0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404648</xdr:colOff>
      <xdr:row>0</xdr:row>
      <xdr:rowOff>0</xdr:rowOff>
    </xdr:from>
    <xdr:to>
      <xdr:col>7</xdr:col>
      <xdr:colOff>461862</xdr:colOff>
      <xdr:row>4</xdr:row>
      <xdr:rowOff>15081</xdr:rowOff>
    </xdr:to>
    <xdr:sp macro="" textlink="">
      <xdr:nvSpPr>
        <xdr:cNvPr id="50" name="D_GRAD_132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Grp="1"/>
        </xdr:cNvSpPr>
      </xdr:nvSpPr>
      <xdr:spPr>
        <a:xfrm>
          <a:off x="7119773" y="0"/>
          <a:ext cx="57214" cy="329406"/>
        </a:xfrm>
        <a:prstGeom prst="rect">
          <a:avLst/>
        </a:prstGeom>
        <a:solidFill>
          <a:srgbClr val="A73D0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352057</xdr:colOff>
      <xdr:row>0</xdr:row>
      <xdr:rowOff>0</xdr:rowOff>
    </xdr:from>
    <xdr:to>
      <xdr:col>7</xdr:col>
      <xdr:colOff>409270</xdr:colOff>
      <xdr:row>4</xdr:row>
      <xdr:rowOff>15081</xdr:rowOff>
    </xdr:to>
    <xdr:sp macro="" textlink="">
      <xdr:nvSpPr>
        <xdr:cNvPr id="51" name="D_GRAD_13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Grp="1"/>
        </xdr:cNvSpPr>
      </xdr:nvSpPr>
      <xdr:spPr>
        <a:xfrm>
          <a:off x="7067182" y="0"/>
          <a:ext cx="57213" cy="329406"/>
        </a:xfrm>
        <a:prstGeom prst="rect">
          <a:avLst/>
        </a:prstGeom>
        <a:solidFill>
          <a:srgbClr val="AA3D0D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299465</xdr:colOff>
      <xdr:row>0</xdr:row>
      <xdr:rowOff>0</xdr:rowOff>
    </xdr:from>
    <xdr:to>
      <xdr:col>7</xdr:col>
      <xdr:colOff>356677</xdr:colOff>
      <xdr:row>4</xdr:row>
      <xdr:rowOff>15081</xdr:rowOff>
    </xdr:to>
    <xdr:sp macro="" textlink="">
      <xdr:nvSpPr>
        <xdr:cNvPr id="52" name="D_GRAD_130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Grp="1"/>
        </xdr:cNvSpPr>
      </xdr:nvSpPr>
      <xdr:spPr>
        <a:xfrm>
          <a:off x="7014590" y="0"/>
          <a:ext cx="57212" cy="329406"/>
        </a:xfrm>
        <a:prstGeom prst="rect">
          <a:avLst/>
        </a:prstGeom>
        <a:solidFill>
          <a:srgbClr val="AC3E0D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246875</xdr:colOff>
      <xdr:row>0</xdr:row>
      <xdr:rowOff>0</xdr:rowOff>
    </xdr:from>
    <xdr:to>
      <xdr:col>7</xdr:col>
      <xdr:colOff>304088</xdr:colOff>
      <xdr:row>4</xdr:row>
      <xdr:rowOff>15081</xdr:rowOff>
    </xdr:to>
    <xdr:sp macro="" textlink="">
      <xdr:nvSpPr>
        <xdr:cNvPr id="53" name="D_GRAD_129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Grp="1"/>
        </xdr:cNvSpPr>
      </xdr:nvSpPr>
      <xdr:spPr>
        <a:xfrm>
          <a:off x="6962000" y="0"/>
          <a:ext cx="57213" cy="329406"/>
        </a:xfrm>
        <a:prstGeom prst="rect">
          <a:avLst/>
        </a:prstGeom>
        <a:solidFill>
          <a:srgbClr val="AF3E0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194282</xdr:colOff>
      <xdr:row>0</xdr:row>
      <xdr:rowOff>0</xdr:rowOff>
    </xdr:from>
    <xdr:to>
      <xdr:col>7</xdr:col>
      <xdr:colOff>251496</xdr:colOff>
      <xdr:row>4</xdr:row>
      <xdr:rowOff>15081</xdr:rowOff>
    </xdr:to>
    <xdr:sp macro="" textlink="">
      <xdr:nvSpPr>
        <xdr:cNvPr id="54" name="D_GRAD_128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Grp="1"/>
        </xdr:cNvSpPr>
      </xdr:nvSpPr>
      <xdr:spPr>
        <a:xfrm>
          <a:off x="6909407" y="0"/>
          <a:ext cx="57214" cy="329406"/>
        </a:xfrm>
        <a:prstGeom prst="rect">
          <a:avLst/>
        </a:prstGeom>
        <a:solidFill>
          <a:srgbClr val="B23F0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141689</xdr:colOff>
      <xdr:row>0</xdr:row>
      <xdr:rowOff>0</xdr:rowOff>
    </xdr:from>
    <xdr:to>
      <xdr:col>7</xdr:col>
      <xdr:colOff>198902</xdr:colOff>
      <xdr:row>4</xdr:row>
      <xdr:rowOff>15081</xdr:rowOff>
    </xdr:to>
    <xdr:sp macro="" textlink="">
      <xdr:nvSpPr>
        <xdr:cNvPr id="55" name="D_GRAD_127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Grp="1"/>
        </xdr:cNvSpPr>
      </xdr:nvSpPr>
      <xdr:spPr>
        <a:xfrm>
          <a:off x="6856814" y="0"/>
          <a:ext cx="57213" cy="329406"/>
        </a:xfrm>
        <a:prstGeom prst="rect">
          <a:avLst/>
        </a:prstGeom>
        <a:solidFill>
          <a:srgbClr val="B43F0B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94049</xdr:colOff>
      <xdr:row>0</xdr:row>
      <xdr:rowOff>0</xdr:rowOff>
    </xdr:from>
    <xdr:to>
      <xdr:col>7</xdr:col>
      <xdr:colOff>146310</xdr:colOff>
      <xdr:row>4</xdr:row>
      <xdr:rowOff>15081</xdr:rowOff>
    </xdr:to>
    <xdr:sp macro="" textlink="">
      <xdr:nvSpPr>
        <xdr:cNvPr id="56" name="D_GRAD_12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Grp="1"/>
        </xdr:cNvSpPr>
      </xdr:nvSpPr>
      <xdr:spPr>
        <a:xfrm>
          <a:off x="6809174" y="0"/>
          <a:ext cx="52261" cy="329406"/>
        </a:xfrm>
        <a:prstGeom prst="rect">
          <a:avLst/>
        </a:prstGeom>
        <a:solidFill>
          <a:srgbClr val="B7400B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41456</xdr:colOff>
      <xdr:row>0</xdr:row>
      <xdr:rowOff>0</xdr:rowOff>
    </xdr:from>
    <xdr:to>
      <xdr:col>7</xdr:col>
      <xdr:colOff>98670</xdr:colOff>
      <xdr:row>4</xdr:row>
      <xdr:rowOff>15081</xdr:rowOff>
    </xdr:to>
    <xdr:sp macro="" textlink="">
      <xdr:nvSpPr>
        <xdr:cNvPr id="57" name="D_GRAD_125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Grp="1"/>
        </xdr:cNvSpPr>
      </xdr:nvSpPr>
      <xdr:spPr>
        <a:xfrm>
          <a:off x="6756581" y="0"/>
          <a:ext cx="57214" cy="329406"/>
        </a:xfrm>
        <a:prstGeom prst="rect">
          <a:avLst/>
        </a:prstGeom>
        <a:solidFill>
          <a:srgbClr val="BA400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598465</xdr:colOff>
      <xdr:row>0</xdr:row>
      <xdr:rowOff>0</xdr:rowOff>
    </xdr:from>
    <xdr:to>
      <xdr:col>7</xdr:col>
      <xdr:colOff>46079</xdr:colOff>
      <xdr:row>4</xdr:row>
      <xdr:rowOff>15081</xdr:rowOff>
    </xdr:to>
    <xdr:sp macro="" textlink="">
      <xdr:nvSpPr>
        <xdr:cNvPr id="58" name="D_GRAD_124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Grp="1"/>
        </xdr:cNvSpPr>
      </xdr:nvSpPr>
      <xdr:spPr>
        <a:xfrm>
          <a:off x="6703990" y="0"/>
          <a:ext cx="57214" cy="329406"/>
        </a:xfrm>
        <a:prstGeom prst="rect">
          <a:avLst/>
        </a:prstGeom>
        <a:solidFill>
          <a:srgbClr val="BC410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545874</xdr:colOff>
      <xdr:row>0</xdr:row>
      <xdr:rowOff>0</xdr:rowOff>
    </xdr:from>
    <xdr:to>
      <xdr:col>6</xdr:col>
      <xdr:colOff>603086</xdr:colOff>
      <xdr:row>4</xdr:row>
      <xdr:rowOff>15081</xdr:rowOff>
    </xdr:to>
    <xdr:sp macro="" textlink="">
      <xdr:nvSpPr>
        <xdr:cNvPr id="59" name="D_GRAD_123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Grp="1"/>
        </xdr:cNvSpPr>
      </xdr:nvSpPr>
      <xdr:spPr>
        <a:xfrm>
          <a:off x="6651399" y="0"/>
          <a:ext cx="57212" cy="329406"/>
        </a:xfrm>
        <a:prstGeom prst="rect">
          <a:avLst/>
        </a:prstGeom>
        <a:solidFill>
          <a:srgbClr val="BF410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493281</xdr:colOff>
      <xdr:row>0</xdr:row>
      <xdr:rowOff>0</xdr:rowOff>
    </xdr:from>
    <xdr:to>
      <xdr:col>6</xdr:col>
      <xdr:colOff>550494</xdr:colOff>
      <xdr:row>4</xdr:row>
      <xdr:rowOff>15081</xdr:rowOff>
    </xdr:to>
    <xdr:sp macro="" textlink="">
      <xdr:nvSpPr>
        <xdr:cNvPr id="60" name="D_GRAD_122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Grp="1"/>
        </xdr:cNvSpPr>
      </xdr:nvSpPr>
      <xdr:spPr>
        <a:xfrm>
          <a:off x="6598806" y="0"/>
          <a:ext cx="57213" cy="329406"/>
        </a:xfrm>
        <a:prstGeom prst="rect">
          <a:avLst/>
        </a:prstGeom>
        <a:solidFill>
          <a:srgbClr val="C2420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440689</xdr:colOff>
      <xdr:row>0</xdr:row>
      <xdr:rowOff>0</xdr:rowOff>
    </xdr:from>
    <xdr:to>
      <xdr:col>6</xdr:col>
      <xdr:colOff>497901</xdr:colOff>
      <xdr:row>4</xdr:row>
      <xdr:rowOff>15081</xdr:rowOff>
    </xdr:to>
    <xdr:sp macro="" textlink="">
      <xdr:nvSpPr>
        <xdr:cNvPr id="61" name="D_GRAD_12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Grp="1"/>
        </xdr:cNvSpPr>
      </xdr:nvSpPr>
      <xdr:spPr>
        <a:xfrm>
          <a:off x="6546214" y="0"/>
          <a:ext cx="57212" cy="329406"/>
        </a:xfrm>
        <a:prstGeom prst="rect">
          <a:avLst/>
        </a:prstGeom>
        <a:solidFill>
          <a:srgbClr val="C5420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388098</xdr:colOff>
      <xdr:row>0</xdr:row>
      <xdr:rowOff>0</xdr:rowOff>
    </xdr:from>
    <xdr:to>
      <xdr:col>6</xdr:col>
      <xdr:colOff>445310</xdr:colOff>
      <xdr:row>4</xdr:row>
      <xdr:rowOff>15081</xdr:rowOff>
    </xdr:to>
    <xdr:sp macro="" textlink="">
      <xdr:nvSpPr>
        <xdr:cNvPr id="62" name="D_GRAD_120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Grp="1"/>
        </xdr:cNvSpPr>
      </xdr:nvSpPr>
      <xdr:spPr>
        <a:xfrm>
          <a:off x="6493623" y="0"/>
          <a:ext cx="57212" cy="329406"/>
        </a:xfrm>
        <a:prstGeom prst="rect">
          <a:avLst/>
        </a:prstGeom>
        <a:solidFill>
          <a:srgbClr val="C7430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335505</xdr:colOff>
      <xdr:row>0</xdr:row>
      <xdr:rowOff>0</xdr:rowOff>
    </xdr:from>
    <xdr:to>
      <xdr:col>6</xdr:col>
      <xdr:colOff>392718</xdr:colOff>
      <xdr:row>4</xdr:row>
      <xdr:rowOff>15081</xdr:rowOff>
    </xdr:to>
    <xdr:sp macro="" textlink="">
      <xdr:nvSpPr>
        <xdr:cNvPr id="63" name="D_GRAD_11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Grp="1"/>
        </xdr:cNvSpPr>
      </xdr:nvSpPr>
      <xdr:spPr>
        <a:xfrm>
          <a:off x="6441030" y="0"/>
          <a:ext cx="57213" cy="329406"/>
        </a:xfrm>
        <a:prstGeom prst="rect">
          <a:avLst/>
        </a:prstGeom>
        <a:solidFill>
          <a:srgbClr val="CA430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282913</xdr:colOff>
      <xdr:row>0</xdr:row>
      <xdr:rowOff>0</xdr:rowOff>
    </xdr:from>
    <xdr:to>
      <xdr:col>6</xdr:col>
      <xdr:colOff>340126</xdr:colOff>
      <xdr:row>4</xdr:row>
      <xdr:rowOff>15081</xdr:rowOff>
    </xdr:to>
    <xdr:sp macro="" textlink="">
      <xdr:nvSpPr>
        <xdr:cNvPr id="64" name="D_GRAD_118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Grp="1"/>
        </xdr:cNvSpPr>
      </xdr:nvSpPr>
      <xdr:spPr>
        <a:xfrm>
          <a:off x="6388438" y="0"/>
          <a:ext cx="57213" cy="329406"/>
        </a:xfrm>
        <a:prstGeom prst="rect">
          <a:avLst/>
        </a:prstGeom>
        <a:solidFill>
          <a:srgbClr val="CD440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230321</xdr:colOff>
      <xdr:row>0</xdr:row>
      <xdr:rowOff>0</xdr:rowOff>
    </xdr:from>
    <xdr:to>
      <xdr:col>6</xdr:col>
      <xdr:colOff>287534</xdr:colOff>
      <xdr:row>4</xdr:row>
      <xdr:rowOff>15081</xdr:rowOff>
    </xdr:to>
    <xdr:sp macro="" textlink="">
      <xdr:nvSpPr>
        <xdr:cNvPr id="65" name="D_GRAD_117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Grp="1"/>
        </xdr:cNvSpPr>
      </xdr:nvSpPr>
      <xdr:spPr>
        <a:xfrm>
          <a:off x="6335846" y="0"/>
          <a:ext cx="57213" cy="329406"/>
        </a:xfrm>
        <a:prstGeom prst="rect">
          <a:avLst/>
        </a:prstGeom>
        <a:solidFill>
          <a:srgbClr val="CF440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177729</xdr:colOff>
      <xdr:row>0</xdr:row>
      <xdr:rowOff>0</xdr:rowOff>
    </xdr:from>
    <xdr:to>
      <xdr:col>6</xdr:col>
      <xdr:colOff>234942</xdr:colOff>
      <xdr:row>4</xdr:row>
      <xdr:rowOff>15081</xdr:rowOff>
    </xdr:to>
    <xdr:sp macro="" textlink="">
      <xdr:nvSpPr>
        <xdr:cNvPr id="66" name="D_GRAD_116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Grp="1"/>
        </xdr:cNvSpPr>
      </xdr:nvSpPr>
      <xdr:spPr>
        <a:xfrm>
          <a:off x="6283254" y="0"/>
          <a:ext cx="57213" cy="329406"/>
        </a:xfrm>
        <a:prstGeom prst="rect">
          <a:avLst/>
        </a:prstGeom>
        <a:solidFill>
          <a:srgbClr val="D2450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125137</xdr:colOff>
      <xdr:row>0</xdr:row>
      <xdr:rowOff>0</xdr:rowOff>
    </xdr:from>
    <xdr:to>
      <xdr:col>6</xdr:col>
      <xdr:colOff>182350</xdr:colOff>
      <xdr:row>4</xdr:row>
      <xdr:rowOff>15081</xdr:rowOff>
    </xdr:to>
    <xdr:sp macro="" textlink="">
      <xdr:nvSpPr>
        <xdr:cNvPr id="67" name="D_GRAD_11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Grp="1"/>
        </xdr:cNvSpPr>
      </xdr:nvSpPr>
      <xdr:spPr>
        <a:xfrm>
          <a:off x="6230662" y="0"/>
          <a:ext cx="57213" cy="329406"/>
        </a:xfrm>
        <a:prstGeom prst="rect">
          <a:avLst/>
        </a:prstGeom>
        <a:solidFill>
          <a:srgbClr val="D5450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72545</xdr:colOff>
      <xdr:row>0</xdr:row>
      <xdr:rowOff>0</xdr:rowOff>
    </xdr:from>
    <xdr:to>
      <xdr:col>6</xdr:col>
      <xdr:colOff>129758</xdr:colOff>
      <xdr:row>4</xdr:row>
      <xdr:rowOff>15081</xdr:rowOff>
    </xdr:to>
    <xdr:sp macro="" textlink="">
      <xdr:nvSpPr>
        <xdr:cNvPr id="68" name="D_GRAD_114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Grp="1"/>
        </xdr:cNvSpPr>
      </xdr:nvSpPr>
      <xdr:spPr>
        <a:xfrm>
          <a:off x="6178070" y="0"/>
          <a:ext cx="57213" cy="329406"/>
        </a:xfrm>
        <a:prstGeom prst="rect">
          <a:avLst/>
        </a:prstGeom>
        <a:solidFill>
          <a:srgbClr val="D7460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19953</xdr:colOff>
      <xdr:row>0</xdr:row>
      <xdr:rowOff>0</xdr:rowOff>
    </xdr:from>
    <xdr:to>
      <xdr:col>6</xdr:col>
      <xdr:colOff>77166</xdr:colOff>
      <xdr:row>4</xdr:row>
      <xdr:rowOff>15081</xdr:rowOff>
    </xdr:to>
    <xdr:sp macro="" textlink="">
      <xdr:nvSpPr>
        <xdr:cNvPr id="69" name="D_GRAD_113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Grp="1"/>
        </xdr:cNvSpPr>
      </xdr:nvSpPr>
      <xdr:spPr>
        <a:xfrm>
          <a:off x="6125478" y="0"/>
          <a:ext cx="57213" cy="329406"/>
        </a:xfrm>
        <a:prstGeom prst="rect">
          <a:avLst/>
        </a:prstGeom>
        <a:solidFill>
          <a:srgbClr val="DA460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1572512</xdr:colOff>
      <xdr:row>0</xdr:row>
      <xdr:rowOff>0</xdr:rowOff>
    </xdr:from>
    <xdr:to>
      <xdr:col>6</xdr:col>
      <xdr:colOff>24574</xdr:colOff>
      <xdr:row>4</xdr:row>
      <xdr:rowOff>15081</xdr:rowOff>
    </xdr:to>
    <xdr:sp macro="" textlink="">
      <xdr:nvSpPr>
        <xdr:cNvPr id="70" name="D_GRAD_112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Grp="1"/>
        </xdr:cNvSpPr>
      </xdr:nvSpPr>
      <xdr:spPr>
        <a:xfrm>
          <a:off x="6077837" y="0"/>
          <a:ext cx="52262" cy="329406"/>
        </a:xfrm>
        <a:prstGeom prst="rect">
          <a:avLst/>
        </a:prstGeom>
        <a:solidFill>
          <a:srgbClr val="DD470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1519921</xdr:colOff>
      <xdr:row>0</xdr:row>
      <xdr:rowOff>0</xdr:rowOff>
    </xdr:from>
    <xdr:to>
      <xdr:col>5</xdr:col>
      <xdr:colOff>1577134</xdr:colOff>
      <xdr:row>4</xdr:row>
      <xdr:rowOff>15081</xdr:rowOff>
    </xdr:to>
    <xdr:sp macro="" textlink="">
      <xdr:nvSpPr>
        <xdr:cNvPr id="71" name="D_GRAD_11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Grp="1"/>
        </xdr:cNvSpPr>
      </xdr:nvSpPr>
      <xdr:spPr>
        <a:xfrm>
          <a:off x="6025246" y="0"/>
          <a:ext cx="57213" cy="329406"/>
        </a:xfrm>
        <a:prstGeom prst="rect">
          <a:avLst/>
        </a:prstGeom>
        <a:solidFill>
          <a:srgbClr val="DF470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1467328</xdr:colOff>
      <xdr:row>0</xdr:row>
      <xdr:rowOff>0</xdr:rowOff>
    </xdr:from>
    <xdr:to>
      <xdr:col>5</xdr:col>
      <xdr:colOff>1524541</xdr:colOff>
      <xdr:row>4</xdr:row>
      <xdr:rowOff>15081</xdr:rowOff>
    </xdr:to>
    <xdr:sp macro="" textlink="">
      <xdr:nvSpPr>
        <xdr:cNvPr id="72" name="D_GRAD_110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Grp="1"/>
        </xdr:cNvSpPr>
      </xdr:nvSpPr>
      <xdr:spPr>
        <a:xfrm>
          <a:off x="5972653" y="0"/>
          <a:ext cx="57213" cy="329406"/>
        </a:xfrm>
        <a:prstGeom prst="rect">
          <a:avLst/>
        </a:prstGeom>
        <a:solidFill>
          <a:srgbClr val="E2480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1414736</xdr:colOff>
      <xdr:row>0</xdr:row>
      <xdr:rowOff>0</xdr:rowOff>
    </xdr:from>
    <xdr:to>
      <xdr:col>5</xdr:col>
      <xdr:colOff>1471950</xdr:colOff>
      <xdr:row>4</xdr:row>
      <xdr:rowOff>15081</xdr:rowOff>
    </xdr:to>
    <xdr:sp macro="" textlink="">
      <xdr:nvSpPr>
        <xdr:cNvPr id="73" name="D_GRAD_109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Grp="1"/>
        </xdr:cNvSpPr>
      </xdr:nvSpPr>
      <xdr:spPr>
        <a:xfrm>
          <a:off x="5920061" y="0"/>
          <a:ext cx="57214" cy="329406"/>
        </a:xfrm>
        <a:prstGeom prst="rect">
          <a:avLst/>
        </a:prstGeom>
        <a:solidFill>
          <a:srgbClr val="E5480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1362144</xdr:colOff>
      <xdr:row>0</xdr:row>
      <xdr:rowOff>0</xdr:rowOff>
    </xdr:from>
    <xdr:to>
      <xdr:col>5</xdr:col>
      <xdr:colOff>1419357</xdr:colOff>
      <xdr:row>4</xdr:row>
      <xdr:rowOff>15081</xdr:rowOff>
    </xdr:to>
    <xdr:sp macro="" textlink="">
      <xdr:nvSpPr>
        <xdr:cNvPr id="74" name="D_GRAD_108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Grp="1"/>
        </xdr:cNvSpPr>
      </xdr:nvSpPr>
      <xdr:spPr>
        <a:xfrm>
          <a:off x="5867469" y="0"/>
          <a:ext cx="57213" cy="329406"/>
        </a:xfrm>
        <a:prstGeom prst="rect">
          <a:avLst/>
        </a:prstGeom>
        <a:solidFill>
          <a:srgbClr val="E7480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1309552</xdr:colOff>
      <xdr:row>0</xdr:row>
      <xdr:rowOff>0</xdr:rowOff>
    </xdr:from>
    <xdr:to>
      <xdr:col>5</xdr:col>
      <xdr:colOff>1366765</xdr:colOff>
      <xdr:row>4</xdr:row>
      <xdr:rowOff>15081</xdr:rowOff>
    </xdr:to>
    <xdr:sp macro="" textlink="">
      <xdr:nvSpPr>
        <xdr:cNvPr id="75" name="D_GRAD_107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Grp="1"/>
        </xdr:cNvSpPr>
      </xdr:nvSpPr>
      <xdr:spPr>
        <a:xfrm>
          <a:off x="5814877" y="0"/>
          <a:ext cx="57213" cy="329406"/>
        </a:xfrm>
        <a:prstGeom prst="rect">
          <a:avLst/>
        </a:prstGeom>
        <a:solidFill>
          <a:srgbClr val="EA490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1256960</xdr:colOff>
      <xdr:row>0</xdr:row>
      <xdr:rowOff>0</xdr:rowOff>
    </xdr:from>
    <xdr:to>
      <xdr:col>5</xdr:col>
      <xdr:colOff>1314173</xdr:colOff>
      <xdr:row>4</xdr:row>
      <xdr:rowOff>15081</xdr:rowOff>
    </xdr:to>
    <xdr:sp macro="" textlink="">
      <xdr:nvSpPr>
        <xdr:cNvPr id="76" name="D_GRAD_106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Grp="1"/>
        </xdr:cNvSpPr>
      </xdr:nvSpPr>
      <xdr:spPr>
        <a:xfrm>
          <a:off x="5762285" y="0"/>
          <a:ext cx="57213" cy="329406"/>
        </a:xfrm>
        <a:prstGeom prst="rect">
          <a:avLst/>
        </a:prstGeom>
        <a:solidFill>
          <a:srgbClr val="ED490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1204368</xdr:colOff>
      <xdr:row>0</xdr:row>
      <xdr:rowOff>0</xdr:rowOff>
    </xdr:from>
    <xdr:to>
      <xdr:col>5</xdr:col>
      <xdr:colOff>1261581</xdr:colOff>
      <xdr:row>4</xdr:row>
      <xdr:rowOff>15081</xdr:rowOff>
    </xdr:to>
    <xdr:sp macro="" textlink="">
      <xdr:nvSpPr>
        <xdr:cNvPr id="77" name="D_GRAD_10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Grp="1"/>
        </xdr:cNvSpPr>
      </xdr:nvSpPr>
      <xdr:spPr>
        <a:xfrm>
          <a:off x="5709693" y="0"/>
          <a:ext cx="57213" cy="329406"/>
        </a:xfrm>
        <a:prstGeom prst="rect">
          <a:avLst/>
        </a:prstGeom>
        <a:solidFill>
          <a:srgbClr val="F04A0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1151776</xdr:colOff>
      <xdr:row>0</xdr:row>
      <xdr:rowOff>0</xdr:rowOff>
    </xdr:from>
    <xdr:to>
      <xdr:col>5</xdr:col>
      <xdr:colOff>1208989</xdr:colOff>
      <xdr:row>4</xdr:row>
      <xdr:rowOff>15081</xdr:rowOff>
    </xdr:to>
    <xdr:sp macro="" textlink="">
      <xdr:nvSpPr>
        <xdr:cNvPr id="78" name="D_GRAD_104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Grp="1"/>
        </xdr:cNvSpPr>
      </xdr:nvSpPr>
      <xdr:spPr>
        <a:xfrm>
          <a:off x="5657101" y="0"/>
          <a:ext cx="57213" cy="329406"/>
        </a:xfrm>
        <a:prstGeom prst="rect">
          <a:avLst/>
        </a:prstGeom>
        <a:solidFill>
          <a:srgbClr val="F04B0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1099184</xdr:colOff>
      <xdr:row>0</xdr:row>
      <xdr:rowOff>0</xdr:rowOff>
    </xdr:from>
    <xdr:to>
      <xdr:col>5</xdr:col>
      <xdr:colOff>1156397</xdr:colOff>
      <xdr:row>4</xdr:row>
      <xdr:rowOff>15081</xdr:rowOff>
    </xdr:to>
    <xdr:sp macro="" textlink="">
      <xdr:nvSpPr>
        <xdr:cNvPr id="79" name="D_GRAD_103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Grp="1"/>
        </xdr:cNvSpPr>
      </xdr:nvSpPr>
      <xdr:spPr>
        <a:xfrm>
          <a:off x="5604509" y="0"/>
          <a:ext cx="57213" cy="329406"/>
        </a:xfrm>
        <a:prstGeom prst="rect">
          <a:avLst/>
        </a:prstGeom>
        <a:solidFill>
          <a:srgbClr val="F04D0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1046593</xdr:colOff>
      <xdr:row>0</xdr:row>
      <xdr:rowOff>0</xdr:rowOff>
    </xdr:from>
    <xdr:to>
      <xdr:col>5</xdr:col>
      <xdr:colOff>1103805</xdr:colOff>
      <xdr:row>4</xdr:row>
      <xdr:rowOff>15081</xdr:rowOff>
    </xdr:to>
    <xdr:sp macro="" textlink="">
      <xdr:nvSpPr>
        <xdr:cNvPr id="80" name="D_GRAD_102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Grp="1"/>
        </xdr:cNvSpPr>
      </xdr:nvSpPr>
      <xdr:spPr>
        <a:xfrm>
          <a:off x="5551918" y="0"/>
          <a:ext cx="57212" cy="329406"/>
        </a:xfrm>
        <a:prstGeom prst="rect">
          <a:avLst/>
        </a:prstGeom>
        <a:solidFill>
          <a:srgbClr val="F04F0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994000</xdr:colOff>
      <xdr:row>0</xdr:row>
      <xdr:rowOff>0</xdr:rowOff>
    </xdr:from>
    <xdr:to>
      <xdr:col>5</xdr:col>
      <xdr:colOff>1051214</xdr:colOff>
      <xdr:row>4</xdr:row>
      <xdr:rowOff>15081</xdr:rowOff>
    </xdr:to>
    <xdr:sp macro="" textlink="">
      <xdr:nvSpPr>
        <xdr:cNvPr id="81" name="D_GRAD_10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Grp="1"/>
        </xdr:cNvSpPr>
      </xdr:nvSpPr>
      <xdr:spPr>
        <a:xfrm>
          <a:off x="5499325" y="0"/>
          <a:ext cx="57214" cy="329406"/>
        </a:xfrm>
        <a:prstGeom prst="rect">
          <a:avLst/>
        </a:prstGeom>
        <a:solidFill>
          <a:srgbClr val="F1500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941408</xdr:colOff>
      <xdr:row>0</xdr:row>
      <xdr:rowOff>0</xdr:rowOff>
    </xdr:from>
    <xdr:to>
      <xdr:col>5</xdr:col>
      <xdr:colOff>998622</xdr:colOff>
      <xdr:row>4</xdr:row>
      <xdr:rowOff>15081</xdr:rowOff>
    </xdr:to>
    <xdr:sp macro="" textlink="">
      <xdr:nvSpPr>
        <xdr:cNvPr id="82" name="D_GRAD_100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Grp="1"/>
        </xdr:cNvSpPr>
      </xdr:nvSpPr>
      <xdr:spPr>
        <a:xfrm>
          <a:off x="5446733" y="0"/>
          <a:ext cx="57214" cy="329406"/>
        </a:xfrm>
        <a:prstGeom prst="rect">
          <a:avLst/>
        </a:prstGeom>
        <a:solidFill>
          <a:srgbClr val="F1520B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888817</xdr:colOff>
      <xdr:row>0</xdr:row>
      <xdr:rowOff>0</xdr:rowOff>
    </xdr:from>
    <xdr:to>
      <xdr:col>5</xdr:col>
      <xdr:colOff>946029</xdr:colOff>
      <xdr:row>4</xdr:row>
      <xdr:rowOff>15081</xdr:rowOff>
    </xdr:to>
    <xdr:sp macro="" textlink="">
      <xdr:nvSpPr>
        <xdr:cNvPr id="83" name="D_GRAD_099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Grp="1"/>
        </xdr:cNvSpPr>
      </xdr:nvSpPr>
      <xdr:spPr>
        <a:xfrm>
          <a:off x="5394142" y="0"/>
          <a:ext cx="57212" cy="329406"/>
        </a:xfrm>
        <a:prstGeom prst="rect">
          <a:avLst/>
        </a:prstGeom>
        <a:solidFill>
          <a:srgbClr val="F1540D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836224</xdr:colOff>
      <xdr:row>0</xdr:row>
      <xdr:rowOff>0</xdr:rowOff>
    </xdr:from>
    <xdr:to>
      <xdr:col>5</xdr:col>
      <xdr:colOff>893437</xdr:colOff>
      <xdr:row>4</xdr:row>
      <xdr:rowOff>15081</xdr:rowOff>
    </xdr:to>
    <xdr:sp macro="" textlink="">
      <xdr:nvSpPr>
        <xdr:cNvPr id="84" name="D_GRAD_098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Grp="1"/>
        </xdr:cNvSpPr>
      </xdr:nvSpPr>
      <xdr:spPr>
        <a:xfrm>
          <a:off x="5341549" y="0"/>
          <a:ext cx="57213" cy="329406"/>
        </a:xfrm>
        <a:prstGeom prst="rect">
          <a:avLst/>
        </a:prstGeom>
        <a:solidFill>
          <a:srgbClr val="F1551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560833</xdr:colOff>
      <xdr:row>0</xdr:row>
      <xdr:rowOff>0</xdr:rowOff>
    </xdr:from>
    <xdr:to>
      <xdr:col>5</xdr:col>
      <xdr:colOff>840846</xdr:colOff>
      <xdr:row>4</xdr:row>
      <xdr:rowOff>15081</xdr:rowOff>
    </xdr:to>
    <xdr:sp macro="" textlink="">
      <xdr:nvSpPr>
        <xdr:cNvPr id="85" name="D_GRAD_097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Grp="1"/>
        </xdr:cNvSpPr>
      </xdr:nvSpPr>
      <xdr:spPr>
        <a:xfrm>
          <a:off x="5066158" y="0"/>
          <a:ext cx="280013" cy="329406"/>
        </a:xfrm>
        <a:prstGeom prst="rect">
          <a:avLst/>
        </a:prstGeom>
        <a:solidFill>
          <a:srgbClr val="F1571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508241</xdr:colOff>
      <xdr:row>0</xdr:row>
      <xdr:rowOff>0</xdr:rowOff>
    </xdr:from>
    <xdr:to>
      <xdr:col>5</xdr:col>
      <xdr:colOff>565454</xdr:colOff>
      <xdr:row>4</xdr:row>
      <xdr:rowOff>15081</xdr:rowOff>
    </xdr:to>
    <xdr:sp macro="" textlink="">
      <xdr:nvSpPr>
        <xdr:cNvPr id="86" name="D_GRAD_09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Grp="1"/>
        </xdr:cNvSpPr>
      </xdr:nvSpPr>
      <xdr:spPr>
        <a:xfrm>
          <a:off x="5013566" y="0"/>
          <a:ext cx="57213" cy="329406"/>
        </a:xfrm>
        <a:prstGeom prst="rect">
          <a:avLst/>
        </a:prstGeom>
        <a:solidFill>
          <a:srgbClr val="F1581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455647</xdr:colOff>
      <xdr:row>0</xdr:row>
      <xdr:rowOff>0</xdr:rowOff>
    </xdr:from>
    <xdr:to>
      <xdr:col>5</xdr:col>
      <xdr:colOff>512861</xdr:colOff>
      <xdr:row>4</xdr:row>
      <xdr:rowOff>15081</xdr:rowOff>
    </xdr:to>
    <xdr:sp macro="" textlink="">
      <xdr:nvSpPr>
        <xdr:cNvPr id="87" name="D_GRAD_095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Grp="1"/>
        </xdr:cNvSpPr>
      </xdr:nvSpPr>
      <xdr:spPr>
        <a:xfrm>
          <a:off x="4960972" y="0"/>
          <a:ext cx="57214" cy="329406"/>
        </a:xfrm>
        <a:prstGeom prst="rect">
          <a:avLst/>
        </a:prstGeom>
        <a:solidFill>
          <a:srgbClr val="F15A1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403057</xdr:colOff>
      <xdr:row>0</xdr:row>
      <xdr:rowOff>0</xdr:rowOff>
    </xdr:from>
    <xdr:to>
      <xdr:col>5</xdr:col>
      <xdr:colOff>460270</xdr:colOff>
      <xdr:row>4</xdr:row>
      <xdr:rowOff>15081</xdr:rowOff>
    </xdr:to>
    <xdr:sp macro="" textlink="">
      <xdr:nvSpPr>
        <xdr:cNvPr id="88" name="D_GRAD_094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Grp="1"/>
        </xdr:cNvSpPr>
      </xdr:nvSpPr>
      <xdr:spPr>
        <a:xfrm>
          <a:off x="4908382" y="0"/>
          <a:ext cx="57213" cy="329406"/>
        </a:xfrm>
        <a:prstGeom prst="rect">
          <a:avLst/>
        </a:prstGeom>
        <a:solidFill>
          <a:srgbClr val="F25C1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350465</xdr:colOff>
      <xdr:row>0</xdr:row>
      <xdr:rowOff>0</xdr:rowOff>
    </xdr:from>
    <xdr:to>
      <xdr:col>5</xdr:col>
      <xdr:colOff>407678</xdr:colOff>
      <xdr:row>4</xdr:row>
      <xdr:rowOff>15081</xdr:rowOff>
    </xdr:to>
    <xdr:sp macro="" textlink="">
      <xdr:nvSpPr>
        <xdr:cNvPr id="89" name="D_GRAD_093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Grp="1"/>
        </xdr:cNvSpPr>
      </xdr:nvSpPr>
      <xdr:spPr>
        <a:xfrm>
          <a:off x="4855790" y="0"/>
          <a:ext cx="57213" cy="329406"/>
        </a:xfrm>
        <a:prstGeom prst="rect">
          <a:avLst/>
        </a:prstGeom>
        <a:solidFill>
          <a:srgbClr val="F25D1B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297873</xdr:colOff>
      <xdr:row>0</xdr:row>
      <xdr:rowOff>0</xdr:rowOff>
    </xdr:from>
    <xdr:to>
      <xdr:col>5</xdr:col>
      <xdr:colOff>355086</xdr:colOff>
      <xdr:row>4</xdr:row>
      <xdr:rowOff>15081</xdr:rowOff>
    </xdr:to>
    <xdr:sp macro="" textlink="">
      <xdr:nvSpPr>
        <xdr:cNvPr id="90" name="D_GRAD_092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Grp="1"/>
        </xdr:cNvSpPr>
      </xdr:nvSpPr>
      <xdr:spPr>
        <a:xfrm>
          <a:off x="4803198" y="0"/>
          <a:ext cx="57213" cy="329406"/>
        </a:xfrm>
        <a:prstGeom prst="rect">
          <a:avLst/>
        </a:prstGeom>
        <a:solidFill>
          <a:srgbClr val="F25F1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245281</xdr:colOff>
      <xdr:row>0</xdr:row>
      <xdr:rowOff>0</xdr:rowOff>
    </xdr:from>
    <xdr:to>
      <xdr:col>5</xdr:col>
      <xdr:colOff>302494</xdr:colOff>
      <xdr:row>4</xdr:row>
      <xdr:rowOff>15081</xdr:rowOff>
    </xdr:to>
    <xdr:sp macro="" textlink="">
      <xdr:nvSpPr>
        <xdr:cNvPr id="91" name="D_GRAD_09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Grp="1"/>
        </xdr:cNvSpPr>
      </xdr:nvSpPr>
      <xdr:spPr>
        <a:xfrm>
          <a:off x="4750606" y="0"/>
          <a:ext cx="57213" cy="329406"/>
        </a:xfrm>
        <a:prstGeom prst="rect">
          <a:avLst/>
        </a:prstGeom>
        <a:solidFill>
          <a:srgbClr val="F2612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187737</xdr:colOff>
      <xdr:row>0</xdr:row>
      <xdr:rowOff>0</xdr:rowOff>
    </xdr:from>
    <xdr:to>
      <xdr:col>5</xdr:col>
      <xdr:colOff>249901</xdr:colOff>
      <xdr:row>4</xdr:row>
      <xdr:rowOff>15081</xdr:rowOff>
    </xdr:to>
    <xdr:sp macro="" textlink="">
      <xdr:nvSpPr>
        <xdr:cNvPr id="92" name="D_GRAD_090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Grp="1"/>
        </xdr:cNvSpPr>
      </xdr:nvSpPr>
      <xdr:spPr>
        <a:xfrm>
          <a:off x="4693062" y="0"/>
          <a:ext cx="62164" cy="329406"/>
        </a:xfrm>
        <a:prstGeom prst="rect">
          <a:avLst/>
        </a:prstGeom>
        <a:solidFill>
          <a:srgbClr val="F2622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135145</xdr:colOff>
      <xdr:row>0</xdr:row>
      <xdr:rowOff>0</xdr:rowOff>
    </xdr:from>
    <xdr:to>
      <xdr:col>5</xdr:col>
      <xdr:colOff>192359</xdr:colOff>
      <xdr:row>4</xdr:row>
      <xdr:rowOff>15081</xdr:rowOff>
    </xdr:to>
    <xdr:sp macro="" textlink="">
      <xdr:nvSpPr>
        <xdr:cNvPr id="93" name="D_GRAD_089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Grp="1"/>
        </xdr:cNvSpPr>
      </xdr:nvSpPr>
      <xdr:spPr>
        <a:xfrm>
          <a:off x="4640470" y="0"/>
          <a:ext cx="57214" cy="329406"/>
        </a:xfrm>
        <a:prstGeom prst="rect">
          <a:avLst/>
        </a:prstGeom>
        <a:solidFill>
          <a:srgbClr val="F26424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82553</xdr:colOff>
      <xdr:row>0</xdr:row>
      <xdr:rowOff>0</xdr:rowOff>
    </xdr:from>
    <xdr:to>
      <xdr:col>5</xdr:col>
      <xdr:colOff>139766</xdr:colOff>
      <xdr:row>4</xdr:row>
      <xdr:rowOff>15081</xdr:rowOff>
    </xdr:to>
    <xdr:sp macro="" textlink="">
      <xdr:nvSpPr>
        <xdr:cNvPr id="94" name="D_GRAD_088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Grp="1"/>
        </xdr:cNvSpPr>
      </xdr:nvSpPr>
      <xdr:spPr>
        <a:xfrm>
          <a:off x="4587878" y="0"/>
          <a:ext cx="57213" cy="329406"/>
        </a:xfrm>
        <a:prstGeom prst="rect">
          <a:avLst/>
        </a:prstGeom>
        <a:solidFill>
          <a:srgbClr val="F2662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29962</xdr:colOff>
      <xdr:row>0</xdr:row>
      <xdr:rowOff>0</xdr:rowOff>
    </xdr:from>
    <xdr:to>
      <xdr:col>5</xdr:col>
      <xdr:colOff>87175</xdr:colOff>
      <xdr:row>4</xdr:row>
      <xdr:rowOff>15081</xdr:rowOff>
    </xdr:to>
    <xdr:sp macro="" textlink="">
      <xdr:nvSpPr>
        <xdr:cNvPr id="95" name="D_GRAD_087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Grp="1"/>
        </xdr:cNvSpPr>
      </xdr:nvSpPr>
      <xdr:spPr>
        <a:xfrm>
          <a:off x="4535287" y="0"/>
          <a:ext cx="57213" cy="329406"/>
        </a:xfrm>
        <a:prstGeom prst="rect">
          <a:avLst/>
        </a:prstGeom>
        <a:solidFill>
          <a:srgbClr val="F3672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1577569</xdr:colOff>
      <xdr:row>0</xdr:row>
      <xdr:rowOff>0</xdr:rowOff>
    </xdr:from>
    <xdr:to>
      <xdr:col>5</xdr:col>
      <xdr:colOff>34583</xdr:colOff>
      <xdr:row>4</xdr:row>
      <xdr:rowOff>15081</xdr:rowOff>
    </xdr:to>
    <xdr:sp macro="" textlink="">
      <xdr:nvSpPr>
        <xdr:cNvPr id="96" name="D_GRAD_086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Grp="1"/>
        </xdr:cNvSpPr>
      </xdr:nvSpPr>
      <xdr:spPr>
        <a:xfrm>
          <a:off x="4482694" y="0"/>
          <a:ext cx="57214" cy="329406"/>
        </a:xfrm>
        <a:prstGeom prst="rect">
          <a:avLst/>
        </a:prstGeom>
        <a:solidFill>
          <a:srgbClr val="F3692B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1524977</xdr:colOff>
      <xdr:row>0</xdr:row>
      <xdr:rowOff>0</xdr:rowOff>
    </xdr:from>
    <xdr:to>
      <xdr:col>4</xdr:col>
      <xdr:colOff>1582191</xdr:colOff>
      <xdr:row>4</xdr:row>
      <xdr:rowOff>15081</xdr:rowOff>
    </xdr:to>
    <xdr:sp macro="" textlink="">
      <xdr:nvSpPr>
        <xdr:cNvPr id="97" name="D_GRAD_085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Grp="1"/>
        </xdr:cNvSpPr>
      </xdr:nvSpPr>
      <xdr:spPr>
        <a:xfrm>
          <a:off x="4430102" y="0"/>
          <a:ext cx="57214" cy="329406"/>
        </a:xfrm>
        <a:prstGeom prst="rect">
          <a:avLst/>
        </a:prstGeom>
        <a:solidFill>
          <a:srgbClr val="F36A2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1472386</xdr:colOff>
      <xdr:row>0</xdr:row>
      <xdr:rowOff>0</xdr:rowOff>
    </xdr:from>
    <xdr:to>
      <xdr:col>4</xdr:col>
      <xdr:colOff>1529598</xdr:colOff>
      <xdr:row>4</xdr:row>
      <xdr:rowOff>15081</xdr:rowOff>
    </xdr:to>
    <xdr:sp macro="" textlink="">
      <xdr:nvSpPr>
        <xdr:cNvPr id="98" name="D_GRAD_084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Grp="1"/>
        </xdr:cNvSpPr>
      </xdr:nvSpPr>
      <xdr:spPr>
        <a:xfrm>
          <a:off x="4377511" y="0"/>
          <a:ext cx="57212" cy="329406"/>
        </a:xfrm>
        <a:prstGeom prst="rect">
          <a:avLst/>
        </a:prstGeom>
        <a:solidFill>
          <a:srgbClr val="F36C3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1419793</xdr:colOff>
      <xdr:row>0</xdr:row>
      <xdr:rowOff>0</xdr:rowOff>
    </xdr:from>
    <xdr:to>
      <xdr:col>4</xdr:col>
      <xdr:colOff>1477007</xdr:colOff>
      <xdr:row>4</xdr:row>
      <xdr:rowOff>15081</xdr:rowOff>
    </xdr:to>
    <xdr:sp macro="" textlink="">
      <xdr:nvSpPr>
        <xdr:cNvPr id="99" name="D_GRAD_083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Grp="1"/>
        </xdr:cNvSpPr>
      </xdr:nvSpPr>
      <xdr:spPr>
        <a:xfrm>
          <a:off x="4324918" y="0"/>
          <a:ext cx="57214" cy="329406"/>
        </a:xfrm>
        <a:prstGeom prst="rect">
          <a:avLst/>
        </a:prstGeom>
        <a:solidFill>
          <a:srgbClr val="F36E3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1367201</xdr:colOff>
      <xdr:row>0</xdr:row>
      <xdr:rowOff>0</xdr:rowOff>
    </xdr:from>
    <xdr:to>
      <xdr:col>4</xdr:col>
      <xdr:colOff>1424414</xdr:colOff>
      <xdr:row>4</xdr:row>
      <xdr:rowOff>15081</xdr:rowOff>
    </xdr:to>
    <xdr:sp macro="" textlink="">
      <xdr:nvSpPr>
        <xdr:cNvPr id="100" name="D_GRAD_082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Grp="1"/>
        </xdr:cNvSpPr>
      </xdr:nvSpPr>
      <xdr:spPr>
        <a:xfrm>
          <a:off x="4272326" y="0"/>
          <a:ext cx="57213" cy="329406"/>
        </a:xfrm>
        <a:prstGeom prst="rect">
          <a:avLst/>
        </a:prstGeom>
        <a:solidFill>
          <a:srgbClr val="F36F3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1314610</xdr:colOff>
      <xdr:row>0</xdr:row>
      <xdr:rowOff>0</xdr:rowOff>
    </xdr:from>
    <xdr:to>
      <xdr:col>4</xdr:col>
      <xdr:colOff>1371822</xdr:colOff>
      <xdr:row>4</xdr:row>
      <xdr:rowOff>15081</xdr:rowOff>
    </xdr:to>
    <xdr:sp macro="" textlink="">
      <xdr:nvSpPr>
        <xdr:cNvPr id="101" name="D_GRAD_08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Grp="1"/>
        </xdr:cNvSpPr>
      </xdr:nvSpPr>
      <xdr:spPr>
        <a:xfrm>
          <a:off x="4219735" y="0"/>
          <a:ext cx="57212" cy="329406"/>
        </a:xfrm>
        <a:prstGeom prst="rect">
          <a:avLst/>
        </a:prstGeom>
        <a:solidFill>
          <a:srgbClr val="F3713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1262017</xdr:colOff>
      <xdr:row>0</xdr:row>
      <xdr:rowOff>0</xdr:rowOff>
    </xdr:from>
    <xdr:to>
      <xdr:col>4</xdr:col>
      <xdr:colOff>1319230</xdr:colOff>
      <xdr:row>4</xdr:row>
      <xdr:rowOff>15081</xdr:rowOff>
    </xdr:to>
    <xdr:sp macro="" textlink="">
      <xdr:nvSpPr>
        <xdr:cNvPr id="102" name="D_GRAD_080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Grp="1"/>
        </xdr:cNvSpPr>
      </xdr:nvSpPr>
      <xdr:spPr>
        <a:xfrm>
          <a:off x="4167142" y="0"/>
          <a:ext cx="57213" cy="329406"/>
        </a:xfrm>
        <a:prstGeom prst="rect">
          <a:avLst/>
        </a:prstGeom>
        <a:solidFill>
          <a:srgbClr val="F4733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1209425</xdr:colOff>
      <xdr:row>0</xdr:row>
      <xdr:rowOff>0</xdr:rowOff>
    </xdr:from>
    <xdr:to>
      <xdr:col>4</xdr:col>
      <xdr:colOff>1266639</xdr:colOff>
      <xdr:row>4</xdr:row>
      <xdr:rowOff>15081</xdr:rowOff>
    </xdr:to>
    <xdr:sp macro="" textlink="">
      <xdr:nvSpPr>
        <xdr:cNvPr id="103" name="D_GRAD_079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Grp="1"/>
        </xdr:cNvSpPr>
      </xdr:nvSpPr>
      <xdr:spPr>
        <a:xfrm>
          <a:off x="4114550" y="0"/>
          <a:ext cx="57214" cy="329406"/>
        </a:xfrm>
        <a:prstGeom prst="rect">
          <a:avLst/>
        </a:prstGeom>
        <a:solidFill>
          <a:srgbClr val="F4743B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1156834</xdr:colOff>
      <xdr:row>0</xdr:row>
      <xdr:rowOff>0</xdr:rowOff>
    </xdr:from>
    <xdr:to>
      <xdr:col>4</xdr:col>
      <xdr:colOff>1214047</xdr:colOff>
      <xdr:row>4</xdr:row>
      <xdr:rowOff>15081</xdr:rowOff>
    </xdr:to>
    <xdr:sp macro="" textlink="">
      <xdr:nvSpPr>
        <xdr:cNvPr id="104" name="D_GRAD_078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Grp="1"/>
        </xdr:cNvSpPr>
      </xdr:nvSpPr>
      <xdr:spPr>
        <a:xfrm>
          <a:off x="4061959" y="0"/>
          <a:ext cx="57213" cy="329406"/>
        </a:xfrm>
        <a:prstGeom prst="rect">
          <a:avLst/>
        </a:prstGeom>
        <a:solidFill>
          <a:srgbClr val="F4763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1104241</xdr:colOff>
      <xdr:row>0</xdr:row>
      <xdr:rowOff>0</xdr:rowOff>
    </xdr:from>
    <xdr:to>
      <xdr:col>4</xdr:col>
      <xdr:colOff>1161455</xdr:colOff>
      <xdr:row>4</xdr:row>
      <xdr:rowOff>15081</xdr:rowOff>
    </xdr:to>
    <xdr:sp macro="" textlink="">
      <xdr:nvSpPr>
        <xdr:cNvPr id="105" name="D_GRAD_077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Grp="1"/>
        </xdr:cNvSpPr>
      </xdr:nvSpPr>
      <xdr:spPr>
        <a:xfrm>
          <a:off x="4009366" y="0"/>
          <a:ext cx="57214" cy="329406"/>
        </a:xfrm>
        <a:prstGeom prst="rect">
          <a:avLst/>
        </a:prstGeom>
        <a:solidFill>
          <a:srgbClr val="F4784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1051649</xdr:colOff>
      <xdr:row>0</xdr:row>
      <xdr:rowOff>0</xdr:rowOff>
    </xdr:from>
    <xdr:to>
      <xdr:col>4</xdr:col>
      <xdr:colOff>1108862</xdr:colOff>
      <xdr:row>4</xdr:row>
      <xdr:rowOff>15081</xdr:rowOff>
    </xdr:to>
    <xdr:sp macro="" textlink="">
      <xdr:nvSpPr>
        <xdr:cNvPr id="106" name="D_GRAD_07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Grp="1"/>
        </xdr:cNvSpPr>
      </xdr:nvSpPr>
      <xdr:spPr>
        <a:xfrm>
          <a:off x="3956774" y="0"/>
          <a:ext cx="57213" cy="329406"/>
        </a:xfrm>
        <a:prstGeom prst="rect">
          <a:avLst/>
        </a:prstGeom>
        <a:solidFill>
          <a:srgbClr val="F4794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999058</xdr:colOff>
      <xdr:row>0</xdr:row>
      <xdr:rowOff>0</xdr:rowOff>
    </xdr:from>
    <xdr:to>
      <xdr:col>4</xdr:col>
      <xdr:colOff>1056270</xdr:colOff>
      <xdr:row>4</xdr:row>
      <xdr:rowOff>15081</xdr:rowOff>
    </xdr:to>
    <xdr:sp macro="" textlink="">
      <xdr:nvSpPr>
        <xdr:cNvPr id="107" name="D_GRAD_075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Grp="1"/>
        </xdr:cNvSpPr>
      </xdr:nvSpPr>
      <xdr:spPr>
        <a:xfrm>
          <a:off x="3904183" y="0"/>
          <a:ext cx="57212" cy="329406"/>
        </a:xfrm>
        <a:prstGeom prst="rect">
          <a:avLst/>
        </a:prstGeom>
        <a:solidFill>
          <a:srgbClr val="F47B4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946465</xdr:colOff>
      <xdr:row>0</xdr:row>
      <xdr:rowOff>0</xdr:rowOff>
    </xdr:from>
    <xdr:to>
      <xdr:col>4</xdr:col>
      <xdr:colOff>1003679</xdr:colOff>
      <xdr:row>4</xdr:row>
      <xdr:rowOff>15081</xdr:rowOff>
    </xdr:to>
    <xdr:sp macro="" textlink="">
      <xdr:nvSpPr>
        <xdr:cNvPr id="108" name="D_GRAD_074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Grp="1"/>
        </xdr:cNvSpPr>
      </xdr:nvSpPr>
      <xdr:spPr>
        <a:xfrm>
          <a:off x="3851590" y="0"/>
          <a:ext cx="57214" cy="329406"/>
        </a:xfrm>
        <a:prstGeom prst="rect">
          <a:avLst/>
        </a:prstGeom>
        <a:solidFill>
          <a:srgbClr val="F47C4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888923</xdr:colOff>
      <xdr:row>0</xdr:row>
      <xdr:rowOff>0</xdr:rowOff>
    </xdr:from>
    <xdr:to>
      <xdr:col>4</xdr:col>
      <xdr:colOff>951086</xdr:colOff>
      <xdr:row>4</xdr:row>
      <xdr:rowOff>15081</xdr:rowOff>
    </xdr:to>
    <xdr:sp macro="" textlink="">
      <xdr:nvSpPr>
        <xdr:cNvPr id="109" name="D_GRAD_073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Grp="1"/>
        </xdr:cNvSpPr>
      </xdr:nvSpPr>
      <xdr:spPr>
        <a:xfrm>
          <a:off x="3794048" y="0"/>
          <a:ext cx="62163" cy="329406"/>
        </a:xfrm>
        <a:prstGeom prst="rect">
          <a:avLst/>
        </a:prstGeom>
        <a:solidFill>
          <a:srgbClr val="F57E4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836331</xdr:colOff>
      <xdr:row>0</xdr:row>
      <xdr:rowOff>0</xdr:rowOff>
    </xdr:from>
    <xdr:to>
      <xdr:col>4</xdr:col>
      <xdr:colOff>893544</xdr:colOff>
      <xdr:row>4</xdr:row>
      <xdr:rowOff>15081</xdr:rowOff>
    </xdr:to>
    <xdr:sp macro="" textlink="">
      <xdr:nvSpPr>
        <xdr:cNvPr id="110" name="D_GRAD_072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Grp="1"/>
        </xdr:cNvSpPr>
      </xdr:nvSpPr>
      <xdr:spPr>
        <a:xfrm>
          <a:off x="3741456" y="0"/>
          <a:ext cx="57213" cy="329406"/>
        </a:xfrm>
        <a:prstGeom prst="rect">
          <a:avLst/>
        </a:prstGeom>
        <a:solidFill>
          <a:srgbClr val="F5804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783739</xdr:colOff>
      <xdr:row>0</xdr:row>
      <xdr:rowOff>0</xdr:rowOff>
    </xdr:from>
    <xdr:to>
      <xdr:col>4</xdr:col>
      <xdr:colOff>840952</xdr:colOff>
      <xdr:row>4</xdr:row>
      <xdr:rowOff>15081</xdr:rowOff>
    </xdr:to>
    <xdr:sp macro="" textlink="">
      <xdr:nvSpPr>
        <xdr:cNvPr id="111" name="D_GRAD_07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Grp="1"/>
        </xdr:cNvSpPr>
      </xdr:nvSpPr>
      <xdr:spPr>
        <a:xfrm>
          <a:off x="3688864" y="0"/>
          <a:ext cx="57213" cy="329406"/>
        </a:xfrm>
        <a:prstGeom prst="rect">
          <a:avLst/>
        </a:prstGeom>
        <a:solidFill>
          <a:srgbClr val="F5814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731147</xdr:colOff>
      <xdr:row>0</xdr:row>
      <xdr:rowOff>0</xdr:rowOff>
    </xdr:from>
    <xdr:to>
      <xdr:col>4</xdr:col>
      <xdr:colOff>788360</xdr:colOff>
      <xdr:row>4</xdr:row>
      <xdr:rowOff>15081</xdr:rowOff>
    </xdr:to>
    <xdr:sp macro="" textlink="">
      <xdr:nvSpPr>
        <xdr:cNvPr id="112" name="D_GRAD_070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Grp="1"/>
        </xdr:cNvSpPr>
      </xdr:nvSpPr>
      <xdr:spPr>
        <a:xfrm>
          <a:off x="3636272" y="0"/>
          <a:ext cx="57213" cy="329406"/>
        </a:xfrm>
        <a:prstGeom prst="rect">
          <a:avLst/>
        </a:prstGeom>
        <a:solidFill>
          <a:srgbClr val="F5835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678555</xdr:colOff>
      <xdr:row>0</xdr:row>
      <xdr:rowOff>0</xdr:rowOff>
    </xdr:from>
    <xdr:to>
      <xdr:col>4</xdr:col>
      <xdr:colOff>735768</xdr:colOff>
      <xdr:row>4</xdr:row>
      <xdr:rowOff>15081</xdr:rowOff>
    </xdr:to>
    <xdr:sp macro="" textlink="">
      <xdr:nvSpPr>
        <xdr:cNvPr id="113" name="D_GRAD_069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Grp="1"/>
        </xdr:cNvSpPr>
      </xdr:nvSpPr>
      <xdr:spPr>
        <a:xfrm>
          <a:off x="3583680" y="0"/>
          <a:ext cx="57213" cy="329406"/>
        </a:xfrm>
        <a:prstGeom prst="rect">
          <a:avLst/>
        </a:prstGeom>
        <a:solidFill>
          <a:srgbClr val="F58552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625963</xdr:colOff>
      <xdr:row>0</xdr:row>
      <xdr:rowOff>0</xdr:rowOff>
    </xdr:from>
    <xdr:to>
      <xdr:col>4</xdr:col>
      <xdr:colOff>683177</xdr:colOff>
      <xdr:row>4</xdr:row>
      <xdr:rowOff>15081</xdr:rowOff>
    </xdr:to>
    <xdr:sp macro="" textlink="">
      <xdr:nvSpPr>
        <xdr:cNvPr id="114" name="D_GRAD_068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Grp="1"/>
        </xdr:cNvSpPr>
      </xdr:nvSpPr>
      <xdr:spPr>
        <a:xfrm>
          <a:off x="3531088" y="0"/>
          <a:ext cx="57214" cy="329406"/>
        </a:xfrm>
        <a:prstGeom prst="rect">
          <a:avLst/>
        </a:prstGeom>
        <a:solidFill>
          <a:srgbClr val="F5865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573371</xdr:colOff>
      <xdr:row>0</xdr:row>
      <xdr:rowOff>0</xdr:rowOff>
    </xdr:from>
    <xdr:to>
      <xdr:col>4</xdr:col>
      <xdr:colOff>630584</xdr:colOff>
      <xdr:row>4</xdr:row>
      <xdr:rowOff>15081</xdr:rowOff>
    </xdr:to>
    <xdr:sp macro="" textlink="">
      <xdr:nvSpPr>
        <xdr:cNvPr id="115" name="D_GRAD_067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Grp="1"/>
        </xdr:cNvSpPr>
      </xdr:nvSpPr>
      <xdr:spPr>
        <a:xfrm>
          <a:off x="3478496" y="0"/>
          <a:ext cx="57213" cy="329406"/>
        </a:xfrm>
        <a:prstGeom prst="rect">
          <a:avLst/>
        </a:prstGeom>
        <a:solidFill>
          <a:srgbClr val="F5885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520779</xdr:colOff>
      <xdr:row>0</xdr:row>
      <xdr:rowOff>0</xdr:rowOff>
    </xdr:from>
    <xdr:to>
      <xdr:col>4</xdr:col>
      <xdr:colOff>577992</xdr:colOff>
      <xdr:row>4</xdr:row>
      <xdr:rowOff>15081</xdr:rowOff>
    </xdr:to>
    <xdr:sp macro="" textlink="">
      <xdr:nvSpPr>
        <xdr:cNvPr id="116" name="D_GRAD_06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Grp="1"/>
        </xdr:cNvSpPr>
      </xdr:nvSpPr>
      <xdr:spPr>
        <a:xfrm>
          <a:off x="3425904" y="0"/>
          <a:ext cx="57213" cy="329406"/>
        </a:xfrm>
        <a:prstGeom prst="rect">
          <a:avLst/>
        </a:prstGeom>
        <a:solidFill>
          <a:srgbClr val="F68A5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468187</xdr:colOff>
      <xdr:row>0</xdr:row>
      <xdr:rowOff>0</xdr:rowOff>
    </xdr:from>
    <xdr:to>
      <xdr:col>4</xdr:col>
      <xdr:colOff>525400</xdr:colOff>
      <xdr:row>4</xdr:row>
      <xdr:rowOff>15081</xdr:rowOff>
    </xdr:to>
    <xdr:sp macro="" textlink="">
      <xdr:nvSpPr>
        <xdr:cNvPr id="117" name="D_GRAD_065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Grp="1"/>
        </xdr:cNvSpPr>
      </xdr:nvSpPr>
      <xdr:spPr>
        <a:xfrm>
          <a:off x="3373312" y="0"/>
          <a:ext cx="57213" cy="329406"/>
        </a:xfrm>
        <a:prstGeom prst="rect">
          <a:avLst/>
        </a:prstGeom>
        <a:solidFill>
          <a:srgbClr val="F68B5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415595</xdr:colOff>
      <xdr:row>0</xdr:row>
      <xdr:rowOff>0</xdr:rowOff>
    </xdr:from>
    <xdr:to>
      <xdr:col>4</xdr:col>
      <xdr:colOff>472808</xdr:colOff>
      <xdr:row>4</xdr:row>
      <xdr:rowOff>15081</xdr:rowOff>
    </xdr:to>
    <xdr:sp macro="" textlink="">
      <xdr:nvSpPr>
        <xdr:cNvPr id="118" name="D_GRAD_064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Grp="1"/>
        </xdr:cNvSpPr>
      </xdr:nvSpPr>
      <xdr:spPr>
        <a:xfrm>
          <a:off x="3320720" y="0"/>
          <a:ext cx="57213" cy="329406"/>
        </a:xfrm>
        <a:prstGeom prst="rect">
          <a:avLst/>
        </a:prstGeom>
        <a:solidFill>
          <a:srgbClr val="F68D5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363003</xdr:colOff>
      <xdr:row>0</xdr:row>
      <xdr:rowOff>0</xdr:rowOff>
    </xdr:from>
    <xdr:to>
      <xdr:col>4</xdr:col>
      <xdr:colOff>420216</xdr:colOff>
      <xdr:row>4</xdr:row>
      <xdr:rowOff>15081</xdr:rowOff>
    </xdr:to>
    <xdr:sp macro="" textlink="">
      <xdr:nvSpPr>
        <xdr:cNvPr id="119" name="D_GRAD_063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Grp="1"/>
        </xdr:cNvSpPr>
      </xdr:nvSpPr>
      <xdr:spPr>
        <a:xfrm>
          <a:off x="3268128" y="0"/>
          <a:ext cx="57213" cy="329406"/>
        </a:xfrm>
        <a:prstGeom prst="rect">
          <a:avLst/>
        </a:prstGeom>
        <a:solidFill>
          <a:srgbClr val="F68E6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310411</xdr:colOff>
      <xdr:row>0</xdr:row>
      <xdr:rowOff>0</xdr:rowOff>
    </xdr:from>
    <xdr:to>
      <xdr:col>4</xdr:col>
      <xdr:colOff>367625</xdr:colOff>
      <xdr:row>4</xdr:row>
      <xdr:rowOff>15081</xdr:rowOff>
    </xdr:to>
    <xdr:sp macro="" textlink="">
      <xdr:nvSpPr>
        <xdr:cNvPr id="120" name="D_GRAD_062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Grp="1"/>
        </xdr:cNvSpPr>
      </xdr:nvSpPr>
      <xdr:spPr>
        <a:xfrm>
          <a:off x="3215536" y="0"/>
          <a:ext cx="57214" cy="329406"/>
        </a:xfrm>
        <a:prstGeom prst="rect">
          <a:avLst/>
        </a:prstGeom>
        <a:solidFill>
          <a:srgbClr val="F6906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257819</xdr:colOff>
      <xdr:row>0</xdr:row>
      <xdr:rowOff>0</xdr:rowOff>
    </xdr:from>
    <xdr:to>
      <xdr:col>4</xdr:col>
      <xdr:colOff>315032</xdr:colOff>
      <xdr:row>4</xdr:row>
      <xdr:rowOff>15081</xdr:rowOff>
    </xdr:to>
    <xdr:sp macro="" textlink="">
      <xdr:nvSpPr>
        <xdr:cNvPr id="121" name="D_GRAD_06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Grp="1"/>
        </xdr:cNvSpPr>
      </xdr:nvSpPr>
      <xdr:spPr>
        <a:xfrm>
          <a:off x="3162944" y="0"/>
          <a:ext cx="57213" cy="329406"/>
        </a:xfrm>
        <a:prstGeom prst="rect">
          <a:avLst/>
        </a:prstGeom>
        <a:solidFill>
          <a:srgbClr val="F6926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205228</xdr:colOff>
      <xdr:row>0</xdr:row>
      <xdr:rowOff>0</xdr:rowOff>
    </xdr:from>
    <xdr:to>
      <xdr:col>4</xdr:col>
      <xdr:colOff>262441</xdr:colOff>
      <xdr:row>4</xdr:row>
      <xdr:rowOff>15081</xdr:rowOff>
    </xdr:to>
    <xdr:sp macro="" textlink="">
      <xdr:nvSpPr>
        <xdr:cNvPr id="122" name="D_GRAD_060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Grp="1"/>
        </xdr:cNvSpPr>
      </xdr:nvSpPr>
      <xdr:spPr>
        <a:xfrm>
          <a:off x="3110353" y="0"/>
          <a:ext cx="57213" cy="329406"/>
        </a:xfrm>
        <a:prstGeom prst="rect">
          <a:avLst/>
        </a:prstGeom>
        <a:solidFill>
          <a:srgbClr val="F6936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152636</xdr:colOff>
      <xdr:row>0</xdr:row>
      <xdr:rowOff>0</xdr:rowOff>
    </xdr:from>
    <xdr:to>
      <xdr:col>4</xdr:col>
      <xdr:colOff>209849</xdr:colOff>
      <xdr:row>4</xdr:row>
      <xdr:rowOff>15081</xdr:rowOff>
    </xdr:to>
    <xdr:sp macro="" textlink="">
      <xdr:nvSpPr>
        <xdr:cNvPr id="123" name="D_GRAD_05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Grp="1"/>
        </xdr:cNvSpPr>
      </xdr:nvSpPr>
      <xdr:spPr>
        <a:xfrm>
          <a:off x="3057761" y="0"/>
          <a:ext cx="57213" cy="329406"/>
        </a:xfrm>
        <a:prstGeom prst="rect">
          <a:avLst/>
        </a:prstGeom>
        <a:solidFill>
          <a:srgbClr val="F79569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100044</xdr:colOff>
      <xdr:row>0</xdr:row>
      <xdr:rowOff>0</xdr:rowOff>
    </xdr:from>
    <xdr:to>
      <xdr:col>4</xdr:col>
      <xdr:colOff>157256</xdr:colOff>
      <xdr:row>4</xdr:row>
      <xdr:rowOff>15081</xdr:rowOff>
    </xdr:to>
    <xdr:sp macro="" textlink="">
      <xdr:nvSpPr>
        <xdr:cNvPr id="124" name="D_GRAD_058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Grp="1"/>
        </xdr:cNvSpPr>
      </xdr:nvSpPr>
      <xdr:spPr>
        <a:xfrm>
          <a:off x="3005169" y="0"/>
          <a:ext cx="57212" cy="329406"/>
        </a:xfrm>
        <a:prstGeom prst="rect">
          <a:avLst/>
        </a:prstGeom>
        <a:solidFill>
          <a:srgbClr val="F7976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47452</xdr:colOff>
      <xdr:row>0</xdr:row>
      <xdr:rowOff>0</xdr:rowOff>
    </xdr:from>
    <xdr:to>
      <xdr:col>4</xdr:col>
      <xdr:colOff>104665</xdr:colOff>
      <xdr:row>4</xdr:row>
      <xdr:rowOff>15081</xdr:rowOff>
    </xdr:to>
    <xdr:sp macro="" textlink="">
      <xdr:nvSpPr>
        <xdr:cNvPr id="125" name="D_GRAD_057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Grp="1"/>
        </xdr:cNvSpPr>
      </xdr:nvSpPr>
      <xdr:spPr>
        <a:xfrm>
          <a:off x="2952577" y="0"/>
          <a:ext cx="57213" cy="329406"/>
        </a:xfrm>
        <a:prstGeom prst="rect">
          <a:avLst/>
        </a:prstGeom>
        <a:solidFill>
          <a:srgbClr val="F7986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604460</xdr:colOff>
      <xdr:row>0</xdr:row>
      <xdr:rowOff>0</xdr:rowOff>
    </xdr:from>
    <xdr:to>
      <xdr:col>4</xdr:col>
      <xdr:colOff>52073</xdr:colOff>
      <xdr:row>4</xdr:row>
      <xdr:rowOff>15081</xdr:rowOff>
    </xdr:to>
    <xdr:sp macro="" textlink="">
      <xdr:nvSpPr>
        <xdr:cNvPr id="126" name="D_GRAD_056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Grp="1"/>
        </xdr:cNvSpPr>
      </xdr:nvSpPr>
      <xdr:spPr>
        <a:xfrm>
          <a:off x="2899985" y="0"/>
          <a:ext cx="57213" cy="329406"/>
        </a:xfrm>
        <a:prstGeom prst="rect">
          <a:avLst/>
        </a:prstGeom>
        <a:solidFill>
          <a:srgbClr val="F79A70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546916</xdr:colOff>
      <xdr:row>0</xdr:row>
      <xdr:rowOff>0</xdr:rowOff>
    </xdr:from>
    <xdr:to>
      <xdr:col>3</xdr:col>
      <xdr:colOff>609079</xdr:colOff>
      <xdr:row>4</xdr:row>
      <xdr:rowOff>15081</xdr:rowOff>
    </xdr:to>
    <xdr:sp macro="" textlink="">
      <xdr:nvSpPr>
        <xdr:cNvPr id="127" name="D_GRAD_055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Grp="1"/>
        </xdr:cNvSpPr>
      </xdr:nvSpPr>
      <xdr:spPr>
        <a:xfrm>
          <a:off x="2842441" y="0"/>
          <a:ext cx="62163" cy="329406"/>
        </a:xfrm>
        <a:prstGeom prst="rect">
          <a:avLst/>
        </a:prstGeom>
        <a:solidFill>
          <a:srgbClr val="F79C7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494325</xdr:colOff>
      <xdr:row>0</xdr:row>
      <xdr:rowOff>0</xdr:rowOff>
    </xdr:from>
    <xdr:to>
      <xdr:col>3</xdr:col>
      <xdr:colOff>551537</xdr:colOff>
      <xdr:row>4</xdr:row>
      <xdr:rowOff>15081</xdr:rowOff>
    </xdr:to>
    <xdr:sp macro="" textlink="">
      <xdr:nvSpPr>
        <xdr:cNvPr id="128" name="D_GRAD_054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Grp="1"/>
        </xdr:cNvSpPr>
      </xdr:nvSpPr>
      <xdr:spPr>
        <a:xfrm>
          <a:off x="2789850" y="0"/>
          <a:ext cx="57212" cy="329406"/>
        </a:xfrm>
        <a:prstGeom prst="rect">
          <a:avLst/>
        </a:prstGeom>
        <a:solidFill>
          <a:srgbClr val="F79D7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441732</xdr:colOff>
      <xdr:row>0</xdr:row>
      <xdr:rowOff>0</xdr:rowOff>
    </xdr:from>
    <xdr:to>
      <xdr:col>3</xdr:col>
      <xdr:colOff>498946</xdr:colOff>
      <xdr:row>4</xdr:row>
      <xdr:rowOff>15081</xdr:rowOff>
    </xdr:to>
    <xdr:sp macro="" textlink="">
      <xdr:nvSpPr>
        <xdr:cNvPr id="129" name="D_GRAD_053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Grp="1"/>
        </xdr:cNvSpPr>
      </xdr:nvSpPr>
      <xdr:spPr>
        <a:xfrm>
          <a:off x="2737257" y="0"/>
          <a:ext cx="57214" cy="329406"/>
        </a:xfrm>
        <a:prstGeom prst="rect">
          <a:avLst/>
        </a:prstGeom>
        <a:solidFill>
          <a:srgbClr val="F79F7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389141</xdr:colOff>
      <xdr:row>0</xdr:row>
      <xdr:rowOff>0</xdr:rowOff>
    </xdr:from>
    <xdr:to>
      <xdr:col>3</xdr:col>
      <xdr:colOff>446353</xdr:colOff>
      <xdr:row>4</xdr:row>
      <xdr:rowOff>15081</xdr:rowOff>
    </xdr:to>
    <xdr:sp macro="" textlink="">
      <xdr:nvSpPr>
        <xdr:cNvPr id="130" name="D_GRAD_052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Grp="1"/>
        </xdr:cNvSpPr>
      </xdr:nvSpPr>
      <xdr:spPr>
        <a:xfrm>
          <a:off x="2684666" y="0"/>
          <a:ext cx="57212" cy="329406"/>
        </a:xfrm>
        <a:prstGeom prst="rect">
          <a:avLst/>
        </a:prstGeom>
        <a:solidFill>
          <a:srgbClr val="F8A07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336549</xdr:colOff>
      <xdr:row>0</xdr:row>
      <xdr:rowOff>0</xdr:rowOff>
    </xdr:from>
    <xdr:to>
      <xdr:col>3</xdr:col>
      <xdr:colOff>393762</xdr:colOff>
      <xdr:row>4</xdr:row>
      <xdr:rowOff>15081</xdr:rowOff>
    </xdr:to>
    <xdr:sp macro="" textlink="">
      <xdr:nvSpPr>
        <xdr:cNvPr id="131" name="D_GRAD_05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Grp="1"/>
        </xdr:cNvSpPr>
      </xdr:nvSpPr>
      <xdr:spPr>
        <a:xfrm>
          <a:off x="2632074" y="0"/>
          <a:ext cx="57213" cy="329406"/>
        </a:xfrm>
        <a:prstGeom prst="rect">
          <a:avLst/>
        </a:prstGeom>
        <a:solidFill>
          <a:srgbClr val="F8A27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283956</xdr:colOff>
      <xdr:row>0</xdr:row>
      <xdr:rowOff>0</xdr:rowOff>
    </xdr:from>
    <xdr:to>
      <xdr:col>3</xdr:col>
      <xdr:colOff>341170</xdr:colOff>
      <xdr:row>4</xdr:row>
      <xdr:rowOff>15081</xdr:rowOff>
    </xdr:to>
    <xdr:sp macro="" textlink="">
      <xdr:nvSpPr>
        <xdr:cNvPr id="132" name="D_GRAD_050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Grp="1"/>
        </xdr:cNvSpPr>
      </xdr:nvSpPr>
      <xdr:spPr>
        <a:xfrm>
          <a:off x="2579481" y="0"/>
          <a:ext cx="57214" cy="329406"/>
        </a:xfrm>
        <a:prstGeom prst="rect">
          <a:avLst/>
        </a:prstGeom>
        <a:solidFill>
          <a:srgbClr val="F8A47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231365</xdr:colOff>
      <xdr:row>0</xdr:row>
      <xdr:rowOff>0</xdr:rowOff>
    </xdr:from>
    <xdr:to>
      <xdr:col>3</xdr:col>
      <xdr:colOff>288577</xdr:colOff>
      <xdr:row>4</xdr:row>
      <xdr:rowOff>15081</xdr:rowOff>
    </xdr:to>
    <xdr:sp macro="" textlink="">
      <xdr:nvSpPr>
        <xdr:cNvPr id="133" name="D_GRAD_049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Grp="1"/>
        </xdr:cNvSpPr>
      </xdr:nvSpPr>
      <xdr:spPr>
        <a:xfrm>
          <a:off x="2526890" y="0"/>
          <a:ext cx="57212" cy="329406"/>
        </a:xfrm>
        <a:prstGeom prst="rect">
          <a:avLst/>
        </a:prstGeom>
        <a:solidFill>
          <a:srgbClr val="F8A58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178773</xdr:colOff>
      <xdr:row>0</xdr:row>
      <xdr:rowOff>0</xdr:rowOff>
    </xdr:from>
    <xdr:to>
      <xdr:col>3</xdr:col>
      <xdr:colOff>235985</xdr:colOff>
      <xdr:row>4</xdr:row>
      <xdr:rowOff>15081</xdr:rowOff>
    </xdr:to>
    <xdr:sp macro="" textlink="">
      <xdr:nvSpPr>
        <xdr:cNvPr id="134" name="D_GRAD_048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Grp="1"/>
        </xdr:cNvSpPr>
      </xdr:nvSpPr>
      <xdr:spPr>
        <a:xfrm>
          <a:off x="2474298" y="0"/>
          <a:ext cx="57212" cy="329406"/>
        </a:xfrm>
        <a:prstGeom prst="rect">
          <a:avLst/>
        </a:prstGeom>
        <a:solidFill>
          <a:srgbClr val="F8A78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126180</xdr:colOff>
      <xdr:row>0</xdr:row>
      <xdr:rowOff>0</xdr:rowOff>
    </xdr:from>
    <xdr:to>
      <xdr:col>3</xdr:col>
      <xdr:colOff>183394</xdr:colOff>
      <xdr:row>4</xdr:row>
      <xdr:rowOff>15081</xdr:rowOff>
    </xdr:to>
    <xdr:sp macro="" textlink="">
      <xdr:nvSpPr>
        <xdr:cNvPr id="135" name="D_GRAD_047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Grp="1"/>
        </xdr:cNvSpPr>
      </xdr:nvSpPr>
      <xdr:spPr>
        <a:xfrm>
          <a:off x="2421705" y="0"/>
          <a:ext cx="57214" cy="329406"/>
        </a:xfrm>
        <a:prstGeom prst="rect">
          <a:avLst/>
        </a:prstGeom>
        <a:solidFill>
          <a:srgbClr val="F8A98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73589</xdr:colOff>
      <xdr:row>0</xdr:row>
      <xdr:rowOff>0</xdr:rowOff>
    </xdr:from>
    <xdr:to>
      <xdr:col>3</xdr:col>
      <xdr:colOff>130801</xdr:colOff>
      <xdr:row>4</xdr:row>
      <xdr:rowOff>15081</xdr:rowOff>
    </xdr:to>
    <xdr:sp macro="" textlink="">
      <xdr:nvSpPr>
        <xdr:cNvPr id="136" name="D_GRAD_046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Grp="1"/>
        </xdr:cNvSpPr>
      </xdr:nvSpPr>
      <xdr:spPr>
        <a:xfrm>
          <a:off x="2369114" y="0"/>
          <a:ext cx="57212" cy="329406"/>
        </a:xfrm>
        <a:prstGeom prst="rect">
          <a:avLst/>
        </a:prstGeom>
        <a:solidFill>
          <a:srgbClr val="F8AA87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20997</xdr:colOff>
      <xdr:row>0</xdr:row>
      <xdr:rowOff>0</xdr:rowOff>
    </xdr:from>
    <xdr:to>
      <xdr:col>3</xdr:col>
      <xdr:colOff>78210</xdr:colOff>
      <xdr:row>4</xdr:row>
      <xdr:rowOff>15081</xdr:rowOff>
    </xdr:to>
    <xdr:sp macro="" textlink="">
      <xdr:nvSpPr>
        <xdr:cNvPr id="137" name="D_GRAD_045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Grp="1"/>
        </xdr:cNvSpPr>
      </xdr:nvSpPr>
      <xdr:spPr>
        <a:xfrm>
          <a:off x="2316522" y="0"/>
          <a:ext cx="57213" cy="329406"/>
        </a:xfrm>
        <a:prstGeom prst="rect">
          <a:avLst/>
        </a:prstGeom>
        <a:solidFill>
          <a:srgbClr val="F9AC8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1111404</xdr:colOff>
      <xdr:row>0</xdr:row>
      <xdr:rowOff>0</xdr:rowOff>
    </xdr:from>
    <xdr:to>
      <xdr:col>3</xdr:col>
      <xdr:colOff>25618</xdr:colOff>
      <xdr:row>4</xdr:row>
      <xdr:rowOff>15081</xdr:rowOff>
    </xdr:to>
    <xdr:sp macro="" textlink="">
      <xdr:nvSpPr>
        <xdr:cNvPr id="138" name="D_GRAD_044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Grp="1"/>
        </xdr:cNvSpPr>
      </xdr:nvSpPr>
      <xdr:spPr>
        <a:xfrm>
          <a:off x="2263929" y="0"/>
          <a:ext cx="57214" cy="329406"/>
        </a:xfrm>
        <a:prstGeom prst="rect">
          <a:avLst/>
        </a:prstGeom>
        <a:solidFill>
          <a:srgbClr val="F9AE8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1058813</xdr:colOff>
      <xdr:row>0</xdr:row>
      <xdr:rowOff>0</xdr:rowOff>
    </xdr:from>
    <xdr:to>
      <xdr:col>2</xdr:col>
      <xdr:colOff>1116025</xdr:colOff>
      <xdr:row>4</xdr:row>
      <xdr:rowOff>15081</xdr:rowOff>
    </xdr:to>
    <xdr:sp macro="" textlink="">
      <xdr:nvSpPr>
        <xdr:cNvPr id="139" name="D_GRAD_043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Grp="1"/>
        </xdr:cNvSpPr>
      </xdr:nvSpPr>
      <xdr:spPr>
        <a:xfrm>
          <a:off x="2211338" y="0"/>
          <a:ext cx="57212" cy="329406"/>
        </a:xfrm>
        <a:prstGeom prst="rect">
          <a:avLst/>
        </a:prstGeom>
        <a:solidFill>
          <a:srgbClr val="F9AF8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1006221</xdr:colOff>
      <xdr:row>0</xdr:row>
      <xdr:rowOff>0</xdr:rowOff>
    </xdr:from>
    <xdr:to>
      <xdr:col>2</xdr:col>
      <xdr:colOff>1063433</xdr:colOff>
      <xdr:row>4</xdr:row>
      <xdr:rowOff>15081</xdr:rowOff>
    </xdr:to>
    <xdr:sp macro="" textlink="">
      <xdr:nvSpPr>
        <xdr:cNvPr id="140" name="D_GRAD_042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Grp="1"/>
        </xdr:cNvSpPr>
      </xdr:nvSpPr>
      <xdr:spPr>
        <a:xfrm>
          <a:off x="2158746" y="0"/>
          <a:ext cx="57212" cy="329406"/>
        </a:xfrm>
        <a:prstGeom prst="rect">
          <a:avLst/>
        </a:prstGeom>
        <a:solidFill>
          <a:srgbClr val="F9B19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953628</xdr:colOff>
      <xdr:row>0</xdr:row>
      <xdr:rowOff>0</xdr:rowOff>
    </xdr:from>
    <xdr:to>
      <xdr:col>2</xdr:col>
      <xdr:colOff>1010842</xdr:colOff>
      <xdr:row>4</xdr:row>
      <xdr:rowOff>15081</xdr:rowOff>
    </xdr:to>
    <xdr:sp macro="" textlink="">
      <xdr:nvSpPr>
        <xdr:cNvPr id="141" name="D_GRAD_04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Grp="1"/>
        </xdr:cNvSpPr>
      </xdr:nvSpPr>
      <xdr:spPr>
        <a:xfrm>
          <a:off x="2106153" y="0"/>
          <a:ext cx="57214" cy="329406"/>
        </a:xfrm>
        <a:prstGeom prst="rect">
          <a:avLst/>
        </a:prstGeom>
        <a:solidFill>
          <a:srgbClr val="F9B39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901036</xdr:colOff>
      <xdr:row>0</xdr:row>
      <xdr:rowOff>0</xdr:rowOff>
    </xdr:from>
    <xdr:to>
      <xdr:col>2</xdr:col>
      <xdr:colOff>958249</xdr:colOff>
      <xdr:row>4</xdr:row>
      <xdr:rowOff>15081</xdr:rowOff>
    </xdr:to>
    <xdr:sp macro="" textlink="">
      <xdr:nvSpPr>
        <xdr:cNvPr id="142" name="D_GRAD_040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Grp="1"/>
        </xdr:cNvSpPr>
      </xdr:nvSpPr>
      <xdr:spPr>
        <a:xfrm>
          <a:off x="2053561" y="0"/>
          <a:ext cx="57213" cy="329406"/>
        </a:xfrm>
        <a:prstGeom prst="rect">
          <a:avLst/>
        </a:prstGeom>
        <a:solidFill>
          <a:srgbClr val="F9B49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848445</xdr:colOff>
      <xdr:row>0</xdr:row>
      <xdr:rowOff>0</xdr:rowOff>
    </xdr:from>
    <xdr:to>
      <xdr:col>2</xdr:col>
      <xdr:colOff>905658</xdr:colOff>
      <xdr:row>4</xdr:row>
      <xdr:rowOff>15081</xdr:rowOff>
    </xdr:to>
    <xdr:sp macro="" textlink="">
      <xdr:nvSpPr>
        <xdr:cNvPr id="143" name="D_GRAD_039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Grp="1"/>
        </xdr:cNvSpPr>
      </xdr:nvSpPr>
      <xdr:spPr>
        <a:xfrm>
          <a:off x="2000970" y="0"/>
          <a:ext cx="57213" cy="329406"/>
        </a:xfrm>
        <a:prstGeom prst="rect">
          <a:avLst/>
        </a:prstGeom>
        <a:solidFill>
          <a:srgbClr val="FAB69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790902</xdr:colOff>
      <xdr:row>0</xdr:row>
      <xdr:rowOff>0</xdr:rowOff>
    </xdr:from>
    <xdr:to>
      <xdr:col>2</xdr:col>
      <xdr:colOff>853066</xdr:colOff>
      <xdr:row>4</xdr:row>
      <xdr:rowOff>15081</xdr:rowOff>
    </xdr:to>
    <xdr:sp macro="" textlink="">
      <xdr:nvSpPr>
        <xdr:cNvPr id="144" name="D_GRAD_038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Grp="1"/>
        </xdr:cNvSpPr>
      </xdr:nvSpPr>
      <xdr:spPr>
        <a:xfrm>
          <a:off x="1943427" y="0"/>
          <a:ext cx="62164" cy="329406"/>
        </a:xfrm>
        <a:prstGeom prst="rect">
          <a:avLst/>
        </a:prstGeom>
        <a:solidFill>
          <a:srgbClr val="FAB79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738310</xdr:colOff>
      <xdr:row>0</xdr:row>
      <xdr:rowOff>0</xdr:rowOff>
    </xdr:from>
    <xdr:to>
      <xdr:col>2</xdr:col>
      <xdr:colOff>795523</xdr:colOff>
      <xdr:row>4</xdr:row>
      <xdr:rowOff>15081</xdr:rowOff>
    </xdr:to>
    <xdr:sp macro="" textlink="">
      <xdr:nvSpPr>
        <xdr:cNvPr id="145" name="D_GRAD_037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Grp="1"/>
        </xdr:cNvSpPr>
      </xdr:nvSpPr>
      <xdr:spPr>
        <a:xfrm>
          <a:off x="1890835" y="0"/>
          <a:ext cx="57213" cy="329406"/>
        </a:xfrm>
        <a:prstGeom prst="rect">
          <a:avLst/>
        </a:prstGeom>
        <a:solidFill>
          <a:srgbClr val="FAB99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685719</xdr:colOff>
      <xdr:row>0</xdr:row>
      <xdr:rowOff>0</xdr:rowOff>
    </xdr:from>
    <xdr:to>
      <xdr:col>2</xdr:col>
      <xdr:colOff>742931</xdr:colOff>
      <xdr:row>4</xdr:row>
      <xdr:rowOff>15081</xdr:rowOff>
    </xdr:to>
    <xdr:sp macro="" textlink="">
      <xdr:nvSpPr>
        <xdr:cNvPr id="146" name="D_GRAD_03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Grp="1"/>
        </xdr:cNvSpPr>
      </xdr:nvSpPr>
      <xdr:spPr>
        <a:xfrm>
          <a:off x="1838244" y="0"/>
          <a:ext cx="57212" cy="329406"/>
        </a:xfrm>
        <a:prstGeom prst="rect">
          <a:avLst/>
        </a:prstGeom>
        <a:solidFill>
          <a:srgbClr val="FABB9E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633126</xdr:colOff>
      <xdr:row>0</xdr:row>
      <xdr:rowOff>0</xdr:rowOff>
    </xdr:from>
    <xdr:to>
      <xdr:col>2</xdr:col>
      <xdr:colOff>690339</xdr:colOff>
      <xdr:row>4</xdr:row>
      <xdr:rowOff>15081</xdr:rowOff>
    </xdr:to>
    <xdr:sp macro="" textlink="">
      <xdr:nvSpPr>
        <xdr:cNvPr id="147" name="D_GRAD_035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Grp="1"/>
        </xdr:cNvSpPr>
      </xdr:nvSpPr>
      <xdr:spPr>
        <a:xfrm>
          <a:off x="1785651" y="0"/>
          <a:ext cx="57213" cy="329406"/>
        </a:xfrm>
        <a:prstGeom prst="rect">
          <a:avLst/>
        </a:prstGeom>
        <a:solidFill>
          <a:srgbClr val="FABCA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580534</xdr:colOff>
      <xdr:row>0</xdr:row>
      <xdr:rowOff>0</xdr:rowOff>
    </xdr:from>
    <xdr:to>
      <xdr:col>2</xdr:col>
      <xdr:colOff>637747</xdr:colOff>
      <xdr:row>4</xdr:row>
      <xdr:rowOff>15081</xdr:rowOff>
    </xdr:to>
    <xdr:sp macro="" textlink="">
      <xdr:nvSpPr>
        <xdr:cNvPr id="148" name="D_GRAD_034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Grp="1"/>
        </xdr:cNvSpPr>
      </xdr:nvSpPr>
      <xdr:spPr>
        <a:xfrm>
          <a:off x="1733059" y="0"/>
          <a:ext cx="57213" cy="329406"/>
        </a:xfrm>
        <a:prstGeom prst="rect">
          <a:avLst/>
        </a:prstGeom>
        <a:solidFill>
          <a:srgbClr val="FABEA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527942</xdr:colOff>
      <xdr:row>0</xdr:row>
      <xdr:rowOff>0</xdr:rowOff>
    </xdr:from>
    <xdr:to>
      <xdr:col>2</xdr:col>
      <xdr:colOff>585155</xdr:colOff>
      <xdr:row>4</xdr:row>
      <xdr:rowOff>15081</xdr:rowOff>
    </xdr:to>
    <xdr:sp macro="" textlink="">
      <xdr:nvSpPr>
        <xdr:cNvPr id="149" name="D_GRAD_033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Grp="1"/>
        </xdr:cNvSpPr>
      </xdr:nvSpPr>
      <xdr:spPr>
        <a:xfrm>
          <a:off x="1680467" y="0"/>
          <a:ext cx="57213" cy="329406"/>
        </a:xfrm>
        <a:prstGeom prst="rect">
          <a:avLst/>
        </a:prstGeom>
        <a:solidFill>
          <a:srgbClr val="FAC0A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475350</xdr:colOff>
      <xdr:row>0</xdr:row>
      <xdr:rowOff>0</xdr:rowOff>
    </xdr:from>
    <xdr:to>
      <xdr:col>2</xdr:col>
      <xdr:colOff>532563</xdr:colOff>
      <xdr:row>4</xdr:row>
      <xdr:rowOff>15081</xdr:rowOff>
    </xdr:to>
    <xdr:sp macro="" textlink="">
      <xdr:nvSpPr>
        <xdr:cNvPr id="150" name="D_GRAD_032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Grp="1"/>
        </xdr:cNvSpPr>
      </xdr:nvSpPr>
      <xdr:spPr>
        <a:xfrm>
          <a:off x="1627875" y="0"/>
          <a:ext cx="57213" cy="329406"/>
        </a:xfrm>
        <a:prstGeom prst="rect">
          <a:avLst/>
        </a:prstGeom>
        <a:solidFill>
          <a:srgbClr val="FBC1A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422758</xdr:colOff>
      <xdr:row>0</xdr:row>
      <xdr:rowOff>0</xdr:rowOff>
    </xdr:from>
    <xdr:to>
      <xdr:col>2</xdr:col>
      <xdr:colOff>479971</xdr:colOff>
      <xdr:row>4</xdr:row>
      <xdr:rowOff>15081</xdr:rowOff>
    </xdr:to>
    <xdr:sp macro="" textlink="">
      <xdr:nvSpPr>
        <xdr:cNvPr id="151" name="D_GRAD_03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Grp="1"/>
        </xdr:cNvSpPr>
      </xdr:nvSpPr>
      <xdr:spPr>
        <a:xfrm>
          <a:off x="1575283" y="0"/>
          <a:ext cx="57213" cy="329406"/>
        </a:xfrm>
        <a:prstGeom prst="rect">
          <a:avLst/>
        </a:prstGeom>
        <a:solidFill>
          <a:srgbClr val="FBC3A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370167</xdr:colOff>
      <xdr:row>0</xdr:row>
      <xdr:rowOff>0</xdr:rowOff>
    </xdr:from>
    <xdr:to>
      <xdr:col>2</xdr:col>
      <xdr:colOff>427380</xdr:colOff>
      <xdr:row>4</xdr:row>
      <xdr:rowOff>15081</xdr:rowOff>
    </xdr:to>
    <xdr:sp macro="" textlink="">
      <xdr:nvSpPr>
        <xdr:cNvPr id="152" name="D_GRAD_030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Grp="1"/>
        </xdr:cNvSpPr>
      </xdr:nvSpPr>
      <xdr:spPr>
        <a:xfrm>
          <a:off x="1522692" y="0"/>
          <a:ext cx="57213" cy="329406"/>
        </a:xfrm>
        <a:prstGeom prst="rect">
          <a:avLst/>
        </a:prstGeom>
        <a:solidFill>
          <a:srgbClr val="FBC5A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317574</xdr:colOff>
      <xdr:row>0</xdr:row>
      <xdr:rowOff>0</xdr:rowOff>
    </xdr:from>
    <xdr:to>
      <xdr:col>2</xdr:col>
      <xdr:colOff>374787</xdr:colOff>
      <xdr:row>4</xdr:row>
      <xdr:rowOff>15081</xdr:rowOff>
    </xdr:to>
    <xdr:sp macro="" textlink="">
      <xdr:nvSpPr>
        <xdr:cNvPr id="153" name="D_GRAD_029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Grp="1"/>
        </xdr:cNvSpPr>
      </xdr:nvSpPr>
      <xdr:spPr>
        <a:xfrm>
          <a:off x="1470099" y="0"/>
          <a:ext cx="57213" cy="329406"/>
        </a:xfrm>
        <a:prstGeom prst="rect">
          <a:avLst/>
        </a:prstGeom>
        <a:solidFill>
          <a:srgbClr val="FBC6A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264982</xdr:colOff>
      <xdr:row>0</xdr:row>
      <xdr:rowOff>0</xdr:rowOff>
    </xdr:from>
    <xdr:to>
      <xdr:col>2</xdr:col>
      <xdr:colOff>322195</xdr:colOff>
      <xdr:row>4</xdr:row>
      <xdr:rowOff>15081</xdr:rowOff>
    </xdr:to>
    <xdr:sp macro="" textlink="">
      <xdr:nvSpPr>
        <xdr:cNvPr id="154" name="D_GRAD_028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Grp="1"/>
        </xdr:cNvSpPr>
      </xdr:nvSpPr>
      <xdr:spPr>
        <a:xfrm>
          <a:off x="1417507" y="0"/>
          <a:ext cx="57213" cy="329406"/>
        </a:xfrm>
        <a:prstGeom prst="rect">
          <a:avLst/>
        </a:prstGeom>
        <a:solidFill>
          <a:srgbClr val="FBC8B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212391</xdr:colOff>
      <xdr:row>0</xdr:row>
      <xdr:rowOff>0</xdr:rowOff>
    </xdr:from>
    <xdr:to>
      <xdr:col>2</xdr:col>
      <xdr:colOff>269604</xdr:colOff>
      <xdr:row>4</xdr:row>
      <xdr:rowOff>15081</xdr:rowOff>
    </xdr:to>
    <xdr:sp macro="" textlink="">
      <xdr:nvSpPr>
        <xdr:cNvPr id="155" name="D_GRAD_027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Grp="1"/>
        </xdr:cNvSpPr>
      </xdr:nvSpPr>
      <xdr:spPr>
        <a:xfrm>
          <a:off x="1364916" y="0"/>
          <a:ext cx="57213" cy="329406"/>
        </a:xfrm>
        <a:prstGeom prst="rect">
          <a:avLst/>
        </a:prstGeom>
        <a:solidFill>
          <a:srgbClr val="FBC9B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159799</xdr:colOff>
      <xdr:row>0</xdr:row>
      <xdr:rowOff>0</xdr:rowOff>
    </xdr:from>
    <xdr:to>
      <xdr:col>2</xdr:col>
      <xdr:colOff>217012</xdr:colOff>
      <xdr:row>4</xdr:row>
      <xdr:rowOff>15081</xdr:rowOff>
    </xdr:to>
    <xdr:sp macro="" textlink="">
      <xdr:nvSpPr>
        <xdr:cNvPr id="156" name="D_GRAD_026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Grp="1"/>
        </xdr:cNvSpPr>
      </xdr:nvSpPr>
      <xdr:spPr>
        <a:xfrm>
          <a:off x="1312324" y="0"/>
          <a:ext cx="57213" cy="329406"/>
        </a:xfrm>
        <a:prstGeom prst="rect">
          <a:avLst/>
        </a:prstGeom>
        <a:solidFill>
          <a:srgbClr val="FBCBB5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107207</xdr:colOff>
      <xdr:row>0</xdr:row>
      <xdr:rowOff>0</xdr:rowOff>
    </xdr:from>
    <xdr:to>
      <xdr:col>2</xdr:col>
      <xdr:colOff>164420</xdr:colOff>
      <xdr:row>4</xdr:row>
      <xdr:rowOff>15081</xdr:rowOff>
    </xdr:to>
    <xdr:sp macro="" textlink="">
      <xdr:nvSpPr>
        <xdr:cNvPr id="157" name="D_GRAD_025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Grp="1"/>
        </xdr:cNvSpPr>
      </xdr:nvSpPr>
      <xdr:spPr>
        <a:xfrm>
          <a:off x="1259732" y="0"/>
          <a:ext cx="57213" cy="329406"/>
        </a:xfrm>
        <a:prstGeom prst="rect">
          <a:avLst/>
        </a:prstGeom>
        <a:solidFill>
          <a:srgbClr val="FCCDB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54615</xdr:colOff>
      <xdr:row>0</xdr:row>
      <xdr:rowOff>0</xdr:rowOff>
    </xdr:from>
    <xdr:to>
      <xdr:col>2</xdr:col>
      <xdr:colOff>111828</xdr:colOff>
      <xdr:row>4</xdr:row>
      <xdr:rowOff>15081</xdr:rowOff>
    </xdr:to>
    <xdr:sp macro="" textlink="">
      <xdr:nvSpPr>
        <xdr:cNvPr id="158" name="D_GRAD_024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Grp="1"/>
        </xdr:cNvSpPr>
      </xdr:nvSpPr>
      <xdr:spPr>
        <a:xfrm>
          <a:off x="1207140" y="0"/>
          <a:ext cx="57213" cy="329406"/>
        </a:xfrm>
        <a:prstGeom prst="rect">
          <a:avLst/>
        </a:prstGeom>
        <a:solidFill>
          <a:srgbClr val="FCCEB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2</xdr:col>
      <xdr:colOff>2023</xdr:colOff>
      <xdr:row>0</xdr:row>
      <xdr:rowOff>0</xdr:rowOff>
    </xdr:from>
    <xdr:to>
      <xdr:col>2</xdr:col>
      <xdr:colOff>59236</xdr:colOff>
      <xdr:row>4</xdr:row>
      <xdr:rowOff>15081</xdr:rowOff>
    </xdr:to>
    <xdr:sp macro="" textlink="">
      <xdr:nvSpPr>
        <xdr:cNvPr id="159" name="D_GRAD_023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Grp="1"/>
        </xdr:cNvSpPr>
      </xdr:nvSpPr>
      <xdr:spPr>
        <a:xfrm>
          <a:off x="1154548" y="0"/>
          <a:ext cx="57213" cy="329406"/>
        </a:xfrm>
        <a:prstGeom prst="rect">
          <a:avLst/>
        </a:prstGeom>
        <a:solidFill>
          <a:srgbClr val="FCD0B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711431</xdr:colOff>
      <xdr:row>0</xdr:row>
      <xdr:rowOff>0</xdr:rowOff>
    </xdr:from>
    <xdr:to>
      <xdr:col>2</xdr:col>
      <xdr:colOff>6644</xdr:colOff>
      <xdr:row>4</xdr:row>
      <xdr:rowOff>15081</xdr:rowOff>
    </xdr:to>
    <xdr:sp macro="" textlink="">
      <xdr:nvSpPr>
        <xdr:cNvPr id="160" name="D_GRAD_022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Grp="1"/>
        </xdr:cNvSpPr>
      </xdr:nvSpPr>
      <xdr:spPr>
        <a:xfrm>
          <a:off x="1101956" y="0"/>
          <a:ext cx="57213" cy="329406"/>
        </a:xfrm>
        <a:prstGeom prst="rect">
          <a:avLst/>
        </a:prstGeom>
        <a:solidFill>
          <a:srgbClr val="FCD2B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658839</xdr:colOff>
      <xdr:row>0</xdr:row>
      <xdr:rowOff>0</xdr:rowOff>
    </xdr:from>
    <xdr:to>
      <xdr:col>1</xdr:col>
      <xdr:colOff>716052</xdr:colOff>
      <xdr:row>4</xdr:row>
      <xdr:rowOff>15081</xdr:rowOff>
    </xdr:to>
    <xdr:sp macro="" textlink="">
      <xdr:nvSpPr>
        <xdr:cNvPr id="161" name="D_GRAD_02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Grp="1"/>
        </xdr:cNvSpPr>
      </xdr:nvSpPr>
      <xdr:spPr>
        <a:xfrm>
          <a:off x="1049364" y="0"/>
          <a:ext cx="57213" cy="329406"/>
        </a:xfrm>
        <a:prstGeom prst="rect">
          <a:avLst/>
        </a:prstGeom>
        <a:solidFill>
          <a:srgbClr val="FCD3C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606247</xdr:colOff>
      <xdr:row>0</xdr:row>
      <xdr:rowOff>0</xdr:rowOff>
    </xdr:from>
    <xdr:to>
      <xdr:col>1</xdr:col>
      <xdr:colOff>663460</xdr:colOff>
      <xdr:row>4</xdr:row>
      <xdr:rowOff>15081</xdr:rowOff>
    </xdr:to>
    <xdr:sp macro="" textlink="">
      <xdr:nvSpPr>
        <xdr:cNvPr id="162" name="D_GRAD_020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Grp="1"/>
        </xdr:cNvSpPr>
      </xdr:nvSpPr>
      <xdr:spPr>
        <a:xfrm>
          <a:off x="996772" y="0"/>
          <a:ext cx="57213" cy="329406"/>
        </a:xfrm>
        <a:prstGeom prst="rect">
          <a:avLst/>
        </a:prstGeom>
        <a:solidFill>
          <a:srgbClr val="FCD5C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553655</xdr:colOff>
      <xdr:row>0</xdr:row>
      <xdr:rowOff>0</xdr:rowOff>
    </xdr:from>
    <xdr:to>
      <xdr:col>1</xdr:col>
      <xdr:colOff>610868</xdr:colOff>
      <xdr:row>4</xdr:row>
      <xdr:rowOff>15081</xdr:rowOff>
    </xdr:to>
    <xdr:sp macro="" textlink="">
      <xdr:nvSpPr>
        <xdr:cNvPr id="163" name="D_GRAD_019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Grp="1"/>
        </xdr:cNvSpPr>
      </xdr:nvSpPr>
      <xdr:spPr>
        <a:xfrm>
          <a:off x="944180" y="0"/>
          <a:ext cx="57213" cy="329406"/>
        </a:xfrm>
        <a:prstGeom prst="rect">
          <a:avLst/>
        </a:prstGeom>
        <a:solidFill>
          <a:srgbClr val="FCD7C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501063</xdr:colOff>
      <xdr:row>0</xdr:row>
      <xdr:rowOff>0</xdr:rowOff>
    </xdr:from>
    <xdr:to>
      <xdr:col>1</xdr:col>
      <xdr:colOff>558276</xdr:colOff>
      <xdr:row>4</xdr:row>
      <xdr:rowOff>15081</xdr:rowOff>
    </xdr:to>
    <xdr:sp macro="" textlink="">
      <xdr:nvSpPr>
        <xdr:cNvPr id="164" name="D_GRAD_018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Grp="1"/>
        </xdr:cNvSpPr>
      </xdr:nvSpPr>
      <xdr:spPr>
        <a:xfrm>
          <a:off x="891588" y="0"/>
          <a:ext cx="57213" cy="329406"/>
        </a:xfrm>
        <a:prstGeom prst="rect">
          <a:avLst/>
        </a:prstGeom>
        <a:solidFill>
          <a:srgbClr val="FDD8C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448471</xdr:colOff>
      <xdr:row>0</xdr:row>
      <xdr:rowOff>0</xdr:rowOff>
    </xdr:from>
    <xdr:to>
      <xdr:col>1</xdr:col>
      <xdr:colOff>505684</xdr:colOff>
      <xdr:row>4</xdr:row>
      <xdr:rowOff>15081</xdr:rowOff>
    </xdr:to>
    <xdr:sp macro="" textlink="">
      <xdr:nvSpPr>
        <xdr:cNvPr id="165" name="D_GRAD_017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Grp="1"/>
        </xdr:cNvSpPr>
      </xdr:nvSpPr>
      <xdr:spPr>
        <a:xfrm>
          <a:off x="838996" y="0"/>
          <a:ext cx="57213" cy="329406"/>
        </a:xfrm>
        <a:prstGeom prst="rect">
          <a:avLst/>
        </a:prstGeom>
        <a:solidFill>
          <a:srgbClr val="FDDAC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395879</xdr:colOff>
      <xdr:row>0</xdr:row>
      <xdr:rowOff>0</xdr:rowOff>
    </xdr:from>
    <xdr:to>
      <xdr:col>1</xdr:col>
      <xdr:colOff>453092</xdr:colOff>
      <xdr:row>4</xdr:row>
      <xdr:rowOff>15081</xdr:rowOff>
    </xdr:to>
    <xdr:sp macro="" textlink="">
      <xdr:nvSpPr>
        <xdr:cNvPr id="166" name="D_GRAD_016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Grp="1"/>
        </xdr:cNvSpPr>
      </xdr:nvSpPr>
      <xdr:spPr>
        <a:xfrm>
          <a:off x="786404" y="0"/>
          <a:ext cx="57213" cy="329406"/>
        </a:xfrm>
        <a:prstGeom prst="rect">
          <a:avLst/>
        </a:prstGeom>
        <a:solidFill>
          <a:srgbClr val="FDDBCC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343287</xdr:colOff>
      <xdr:row>0</xdr:row>
      <xdr:rowOff>0</xdr:rowOff>
    </xdr:from>
    <xdr:to>
      <xdr:col>1</xdr:col>
      <xdr:colOff>400500</xdr:colOff>
      <xdr:row>4</xdr:row>
      <xdr:rowOff>15081</xdr:rowOff>
    </xdr:to>
    <xdr:sp macro="" textlink="">
      <xdr:nvSpPr>
        <xdr:cNvPr id="167" name="D_GRAD_015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Grp="1"/>
        </xdr:cNvSpPr>
      </xdr:nvSpPr>
      <xdr:spPr>
        <a:xfrm>
          <a:off x="733812" y="0"/>
          <a:ext cx="57213" cy="329406"/>
        </a:xfrm>
        <a:prstGeom prst="rect">
          <a:avLst/>
        </a:prstGeom>
        <a:solidFill>
          <a:srgbClr val="FDDDC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290695</xdr:colOff>
      <xdr:row>0</xdr:row>
      <xdr:rowOff>0</xdr:rowOff>
    </xdr:from>
    <xdr:to>
      <xdr:col>1</xdr:col>
      <xdr:colOff>347908</xdr:colOff>
      <xdr:row>4</xdr:row>
      <xdr:rowOff>15081</xdr:rowOff>
    </xdr:to>
    <xdr:sp macro="" textlink="">
      <xdr:nvSpPr>
        <xdr:cNvPr id="168" name="D_GRAD_014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Grp="1"/>
        </xdr:cNvSpPr>
      </xdr:nvSpPr>
      <xdr:spPr>
        <a:xfrm>
          <a:off x="681220" y="0"/>
          <a:ext cx="57213" cy="329406"/>
        </a:xfrm>
        <a:prstGeom prst="rect">
          <a:avLst/>
        </a:prstGeom>
        <a:solidFill>
          <a:srgbClr val="FDDFD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238103</xdr:colOff>
      <xdr:row>0</xdr:row>
      <xdr:rowOff>0</xdr:rowOff>
    </xdr:from>
    <xdr:to>
      <xdr:col>1</xdr:col>
      <xdr:colOff>295316</xdr:colOff>
      <xdr:row>4</xdr:row>
      <xdr:rowOff>15081</xdr:rowOff>
    </xdr:to>
    <xdr:sp macro="" textlink="">
      <xdr:nvSpPr>
        <xdr:cNvPr id="169" name="D_GRAD_013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Grp="1"/>
        </xdr:cNvSpPr>
      </xdr:nvSpPr>
      <xdr:spPr>
        <a:xfrm>
          <a:off x="628628" y="0"/>
          <a:ext cx="57213" cy="329406"/>
        </a:xfrm>
        <a:prstGeom prst="rect">
          <a:avLst/>
        </a:prstGeom>
        <a:solidFill>
          <a:srgbClr val="FDE0D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185511</xdr:colOff>
      <xdr:row>0</xdr:row>
      <xdr:rowOff>0</xdr:rowOff>
    </xdr:from>
    <xdr:to>
      <xdr:col>1</xdr:col>
      <xdr:colOff>242724</xdr:colOff>
      <xdr:row>4</xdr:row>
      <xdr:rowOff>15081</xdr:rowOff>
    </xdr:to>
    <xdr:sp macro="" textlink="">
      <xdr:nvSpPr>
        <xdr:cNvPr id="170" name="D_GRAD_012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Grp="1"/>
        </xdr:cNvSpPr>
      </xdr:nvSpPr>
      <xdr:spPr>
        <a:xfrm>
          <a:off x="576036" y="0"/>
          <a:ext cx="57213" cy="329406"/>
        </a:xfrm>
        <a:prstGeom prst="rect">
          <a:avLst/>
        </a:prstGeom>
        <a:solidFill>
          <a:srgbClr val="FDE2D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132919</xdr:colOff>
      <xdr:row>0</xdr:row>
      <xdr:rowOff>0</xdr:rowOff>
    </xdr:from>
    <xdr:to>
      <xdr:col>1</xdr:col>
      <xdr:colOff>190132</xdr:colOff>
      <xdr:row>4</xdr:row>
      <xdr:rowOff>15081</xdr:rowOff>
    </xdr:to>
    <xdr:sp macro="" textlink="">
      <xdr:nvSpPr>
        <xdr:cNvPr id="171" name="D_GRAD_01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Grp="1"/>
        </xdr:cNvSpPr>
      </xdr:nvSpPr>
      <xdr:spPr>
        <a:xfrm>
          <a:off x="523444" y="0"/>
          <a:ext cx="57213" cy="329406"/>
        </a:xfrm>
        <a:prstGeom prst="rect">
          <a:avLst/>
        </a:prstGeom>
        <a:solidFill>
          <a:srgbClr val="FEE4D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80327</xdr:colOff>
      <xdr:row>0</xdr:row>
      <xdr:rowOff>0</xdr:rowOff>
    </xdr:from>
    <xdr:to>
      <xdr:col>1</xdr:col>
      <xdr:colOff>137540</xdr:colOff>
      <xdr:row>4</xdr:row>
      <xdr:rowOff>15081</xdr:rowOff>
    </xdr:to>
    <xdr:sp macro="" textlink="">
      <xdr:nvSpPr>
        <xdr:cNvPr id="172" name="D_GRAD_010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Grp="1"/>
        </xdr:cNvSpPr>
      </xdr:nvSpPr>
      <xdr:spPr>
        <a:xfrm>
          <a:off x="470852" y="0"/>
          <a:ext cx="57213" cy="329406"/>
        </a:xfrm>
        <a:prstGeom prst="rect">
          <a:avLst/>
        </a:prstGeom>
        <a:solidFill>
          <a:srgbClr val="FEE5D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1</xdr:col>
      <xdr:colOff>27735</xdr:colOff>
      <xdr:row>0</xdr:row>
      <xdr:rowOff>0</xdr:rowOff>
    </xdr:from>
    <xdr:to>
      <xdr:col>1</xdr:col>
      <xdr:colOff>84948</xdr:colOff>
      <xdr:row>4</xdr:row>
      <xdr:rowOff>15081</xdr:rowOff>
    </xdr:to>
    <xdr:sp macro="" textlink="">
      <xdr:nvSpPr>
        <xdr:cNvPr id="173" name="D_GRAD_009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Grp="1"/>
        </xdr:cNvSpPr>
      </xdr:nvSpPr>
      <xdr:spPr>
        <a:xfrm>
          <a:off x="418260" y="0"/>
          <a:ext cx="57213" cy="329406"/>
        </a:xfrm>
        <a:prstGeom prst="rect">
          <a:avLst/>
        </a:prstGeom>
        <a:solidFill>
          <a:srgbClr val="FEE7DD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368143</xdr:colOff>
      <xdr:row>0</xdr:row>
      <xdr:rowOff>0</xdr:rowOff>
    </xdr:from>
    <xdr:to>
      <xdr:col>1</xdr:col>
      <xdr:colOff>32356</xdr:colOff>
      <xdr:row>4</xdr:row>
      <xdr:rowOff>15081</xdr:rowOff>
    </xdr:to>
    <xdr:sp macro="" textlink="">
      <xdr:nvSpPr>
        <xdr:cNvPr id="174" name="D_GRAD_008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Grp="1"/>
        </xdr:cNvSpPr>
      </xdr:nvSpPr>
      <xdr:spPr>
        <a:xfrm>
          <a:off x="368143" y="0"/>
          <a:ext cx="54738" cy="329406"/>
        </a:xfrm>
        <a:prstGeom prst="rect">
          <a:avLst/>
        </a:prstGeom>
        <a:solidFill>
          <a:srgbClr val="FEE9D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315552</xdr:colOff>
      <xdr:row>0</xdr:row>
      <xdr:rowOff>0</xdr:rowOff>
    </xdr:from>
    <xdr:to>
      <xdr:col>0</xdr:col>
      <xdr:colOff>372765</xdr:colOff>
      <xdr:row>4</xdr:row>
      <xdr:rowOff>15081</xdr:rowOff>
    </xdr:to>
    <xdr:sp macro="" textlink="">
      <xdr:nvSpPr>
        <xdr:cNvPr id="175" name="D_GRAD_007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Grp="1"/>
        </xdr:cNvSpPr>
      </xdr:nvSpPr>
      <xdr:spPr>
        <a:xfrm>
          <a:off x="315552" y="0"/>
          <a:ext cx="57213" cy="329406"/>
        </a:xfrm>
        <a:prstGeom prst="rect">
          <a:avLst/>
        </a:prstGeom>
        <a:solidFill>
          <a:srgbClr val="FEEAE1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262960</xdr:colOff>
      <xdr:row>0</xdr:row>
      <xdr:rowOff>0</xdr:rowOff>
    </xdr:from>
    <xdr:to>
      <xdr:col>0</xdr:col>
      <xdr:colOff>320173</xdr:colOff>
      <xdr:row>4</xdr:row>
      <xdr:rowOff>15081</xdr:rowOff>
    </xdr:to>
    <xdr:sp macro="" textlink="">
      <xdr:nvSpPr>
        <xdr:cNvPr id="176" name="D_GRAD_00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Grp="1"/>
        </xdr:cNvSpPr>
      </xdr:nvSpPr>
      <xdr:spPr>
        <a:xfrm>
          <a:off x="262960" y="0"/>
          <a:ext cx="57213" cy="329406"/>
        </a:xfrm>
        <a:prstGeom prst="rect">
          <a:avLst/>
        </a:prstGeom>
        <a:solidFill>
          <a:srgbClr val="FEECE3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210368</xdr:colOff>
      <xdr:row>0</xdr:row>
      <xdr:rowOff>0</xdr:rowOff>
    </xdr:from>
    <xdr:to>
      <xdr:col>0</xdr:col>
      <xdr:colOff>267581</xdr:colOff>
      <xdr:row>4</xdr:row>
      <xdr:rowOff>15081</xdr:rowOff>
    </xdr:to>
    <xdr:sp macro="" textlink="">
      <xdr:nvSpPr>
        <xdr:cNvPr id="177" name="D_GRAD_005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Grp="1"/>
        </xdr:cNvSpPr>
      </xdr:nvSpPr>
      <xdr:spPr>
        <a:xfrm>
          <a:off x="210368" y="0"/>
          <a:ext cx="57213" cy="329406"/>
        </a:xfrm>
        <a:prstGeom prst="rect">
          <a:avLst/>
        </a:prstGeom>
        <a:solidFill>
          <a:srgbClr val="FEEDE6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157776</xdr:colOff>
      <xdr:row>0</xdr:row>
      <xdr:rowOff>0</xdr:rowOff>
    </xdr:from>
    <xdr:to>
      <xdr:col>0</xdr:col>
      <xdr:colOff>214989</xdr:colOff>
      <xdr:row>4</xdr:row>
      <xdr:rowOff>15081</xdr:rowOff>
    </xdr:to>
    <xdr:sp macro="" textlink="">
      <xdr:nvSpPr>
        <xdr:cNvPr id="178" name="D_GRAD_004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Grp="1"/>
        </xdr:cNvSpPr>
      </xdr:nvSpPr>
      <xdr:spPr>
        <a:xfrm>
          <a:off x="157776" y="0"/>
          <a:ext cx="57213" cy="329406"/>
        </a:xfrm>
        <a:prstGeom prst="rect">
          <a:avLst/>
        </a:prstGeom>
        <a:solidFill>
          <a:srgbClr val="FFEFE8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105184</xdr:colOff>
      <xdr:row>0</xdr:row>
      <xdr:rowOff>0</xdr:rowOff>
    </xdr:from>
    <xdr:to>
      <xdr:col>0</xdr:col>
      <xdr:colOff>162397</xdr:colOff>
      <xdr:row>4</xdr:row>
      <xdr:rowOff>15081</xdr:rowOff>
    </xdr:to>
    <xdr:sp macro="" textlink="">
      <xdr:nvSpPr>
        <xdr:cNvPr id="179" name="D_GRAD_003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Grp="1"/>
        </xdr:cNvSpPr>
      </xdr:nvSpPr>
      <xdr:spPr>
        <a:xfrm>
          <a:off x="105184" y="0"/>
          <a:ext cx="57213" cy="329406"/>
        </a:xfrm>
        <a:prstGeom prst="rect">
          <a:avLst/>
        </a:prstGeom>
        <a:solidFill>
          <a:srgbClr val="FFF1EA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52592</xdr:colOff>
      <xdr:row>0</xdr:row>
      <xdr:rowOff>0</xdr:rowOff>
    </xdr:from>
    <xdr:to>
      <xdr:col>0</xdr:col>
      <xdr:colOff>109805</xdr:colOff>
      <xdr:row>4</xdr:row>
      <xdr:rowOff>15081</xdr:rowOff>
    </xdr:to>
    <xdr:sp macro="" textlink="">
      <xdr:nvSpPr>
        <xdr:cNvPr id="180" name="D_GRAD_002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Grp="1"/>
        </xdr:cNvSpPr>
      </xdr:nvSpPr>
      <xdr:spPr>
        <a:xfrm>
          <a:off x="52592" y="0"/>
          <a:ext cx="57213" cy="329406"/>
        </a:xfrm>
        <a:prstGeom prst="rect">
          <a:avLst/>
        </a:prstGeom>
        <a:solidFill>
          <a:srgbClr val="FFF2ED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57213</xdr:colOff>
      <xdr:row>4</xdr:row>
      <xdr:rowOff>15081</xdr:rowOff>
    </xdr:to>
    <xdr:sp macro="" textlink="">
      <xdr:nvSpPr>
        <xdr:cNvPr id="181" name="D_GRAD_00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Grp="1"/>
        </xdr:cNvSpPr>
      </xdr:nvSpPr>
      <xdr:spPr>
        <a:xfrm>
          <a:off x="0" y="0"/>
          <a:ext cx="57213" cy="329406"/>
        </a:xfrm>
        <a:prstGeom prst="rect">
          <a:avLst/>
        </a:prstGeom>
        <a:solidFill>
          <a:srgbClr val="FFF4EF"/>
        </a:solidFill>
        <a:ln w="190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showGridLines="0" tabSelected="1" workbookViewId="0"/>
  </sheetViews>
  <sheetFormatPr defaultRowHeight="16.5" x14ac:dyDescent="0.3"/>
  <cols>
    <col min="1" max="1" width="5.125" customWidth="1"/>
    <col min="2" max="2" width="8.125" customWidth="1"/>
    <col min="3" max="6" width="11.625" customWidth="1"/>
    <col min="7" max="7" width="7.5" customWidth="1"/>
    <col min="8" max="9" width="9.625" customWidth="1"/>
    <col min="10" max="10" width="10.625" customWidth="1"/>
    <col min="11" max="12" width="12.625" customWidth="1"/>
    <col min="13" max="13" width="5.125" customWidth="1"/>
  </cols>
  <sheetData>
    <row r="1" spans="1:13" ht="3.9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.1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ht="20.100000000000001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ht="8.1" customHeight="1" x14ac:dyDescent="0.3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0"/>
    </row>
    <row r="5" spans="1:13" ht="12" customHeight="1" x14ac:dyDescent="0.3">
      <c r="A5" s="3"/>
      <c r="B5" s="3"/>
      <c r="C5" s="3"/>
      <c r="D5" s="3"/>
      <c r="E5" s="3"/>
      <c r="F5" s="3"/>
      <c r="G5" s="3"/>
      <c r="H5" s="102" t="s">
        <v>0</v>
      </c>
      <c r="I5" s="102"/>
      <c r="J5" s="102"/>
      <c r="K5" s="102"/>
      <c r="L5" s="3"/>
    </row>
    <row r="6" spans="1:13" ht="12" customHeight="1" x14ac:dyDescent="0.3">
      <c r="A6" s="3"/>
      <c r="B6" s="3"/>
      <c r="C6" s="3"/>
      <c r="D6" s="3"/>
      <c r="E6" s="3"/>
      <c r="F6" s="3"/>
      <c r="G6" s="3"/>
      <c r="H6" s="103" t="s">
        <v>1</v>
      </c>
      <c r="I6" s="103"/>
      <c r="J6" s="103"/>
      <c r="K6" s="103"/>
      <c r="L6" s="3"/>
    </row>
    <row r="7" spans="1:13" ht="12" customHeight="1" x14ac:dyDescent="0.3">
      <c r="A7" s="3"/>
      <c r="B7" s="3"/>
      <c r="C7" s="3"/>
      <c r="D7" s="3"/>
      <c r="E7" s="3"/>
      <c r="F7" s="3"/>
      <c r="G7" s="3"/>
      <c r="H7" s="104" t="s">
        <v>2</v>
      </c>
      <c r="I7" s="104"/>
      <c r="J7" s="104"/>
      <c r="K7" s="104"/>
      <c r="L7" s="3"/>
    </row>
    <row r="8" spans="1:13" ht="4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3" ht="18" customHeight="1" x14ac:dyDescent="0.3">
      <c r="A9" s="3"/>
      <c r="B9" s="106" t="s">
        <v>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</row>
    <row r="10" spans="1:13" ht="21.95" customHeight="1" x14ac:dyDescent="0.3">
      <c r="A10" s="3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</row>
    <row r="11" spans="1:13" ht="20.100000000000001" customHeight="1" x14ac:dyDescent="0.3">
      <c r="A11" s="3"/>
      <c r="B11" s="107" t="s">
        <v>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</row>
    <row r="12" spans="1:13" ht="18" customHeight="1" x14ac:dyDescent="0.3">
      <c r="A12" s="3"/>
      <c r="B12" s="105" t="s">
        <v>5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1:13" ht="18" customHeight="1" x14ac:dyDescent="0.3">
      <c r="A13" s="3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</row>
    <row r="14" spans="1:13" ht="9.9499999999999993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3" x14ac:dyDescent="0.3">
      <c r="A15" s="36"/>
      <c r="B15" s="108" t="s">
        <v>6</v>
      </c>
      <c r="C15" s="108"/>
      <c r="D15" s="108"/>
      <c r="E15" s="108"/>
      <c r="F15" s="108"/>
      <c r="G15" s="108" t="s">
        <v>7</v>
      </c>
      <c r="H15" s="108"/>
      <c r="I15" s="108"/>
      <c r="J15" s="108"/>
      <c r="K15" s="108"/>
      <c r="L15" s="108"/>
    </row>
    <row r="16" spans="1:13" x14ac:dyDescent="0.3">
      <c r="A16" s="36"/>
      <c r="B16" s="111" t="s">
        <v>8</v>
      </c>
      <c r="C16" s="111"/>
      <c r="D16" s="111"/>
      <c r="E16" s="111"/>
      <c r="F16" s="111"/>
      <c r="G16" s="111" t="s">
        <v>9</v>
      </c>
      <c r="H16" s="111"/>
      <c r="I16" s="111"/>
      <c r="J16" s="111"/>
      <c r="K16" s="111"/>
      <c r="L16" s="111"/>
    </row>
    <row r="17" spans="1:12" x14ac:dyDescent="0.3">
      <c r="A17" s="36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</row>
    <row r="18" spans="1:12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1:12" x14ac:dyDescent="0.3">
      <c r="A19" s="36"/>
      <c r="B19" s="108" t="s">
        <v>10</v>
      </c>
      <c r="C19" s="108"/>
      <c r="D19" s="108"/>
      <c r="E19" s="108"/>
      <c r="F19" s="108"/>
      <c r="G19" s="108" t="s">
        <v>11</v>
      </c>
      <c r="H19" s="108"/>
      <c r="I19" s="108"/>
      <c r="J19" s="108"/>
      <c r="K19" s="108"/>
      <c r="L19" s="108"/>
    </row>
    <row r="20" spans="1:12" ht="17.100000000000001" customHeight="1" x14ac:dyDescent="0.3">
      <c r="A20" s="36"/>
      <c r="B20" s="109" t="s">
        <v>12</v>
      </c>
      <c r="C20" s="109"/>
      <c r="D20" s="109"/>
      <c r="E20" s="109"/>
      <c r="F20" s="109"/>
      <c r="G20" s="38" t="s">
        <v>13</v>
      </c>
      <c r="H20" s="109" t="s">
        <v>14</v>
      </c>
      <c r="I20" s="109"/>
      <c r="J20" s="109"/>
      <c r="K20" s="109"/>
      <c r="L20" s="109"/>
    </row>
    <row r="21" spans="1:12" ht="17.100000000000001" customHeight="1" x14ac:dyDescent="0.3">
      <c r="A21" s="36"/>
      <c r="B21" s="109"/>
      <c r="C21" s="109"/>
      <c r="D21" s="109"/>
      <c r="E21" s="109"/>
      <c r="F21" s="109"/>
      <c r="G21" s="38" t="s">
        <v>15</v>
      </c>
      <c r="H21" s="109" t="s">
        <v>16</v>
      </c>
      <c r="I21" s="109"/>
      <c r="J21" s="109"/>
      <c r="K21" s="109"/>
      <c r="L21" s="109"/>
    </row>
    <row r="22" spans="1:12" ht="17.100000000000001" customHeight="1" x14ac:dyDescent="0.3">
      <c r="A22" s="36"/>
      <c r="B22" s="110"/>
      <c r="C22" s="110"/>
      <c r="D22" s="110"/>
      <c r="E22" s="110"/>
      <c r="F22" s="110"/>
      <c r="G22" s="39" t="s">
        <v>17</v>
      </c>
      <c r="H22" s="110" t="s">
        <v>18</v>
      </c>
      <c r="I22" s="110"/>
      <c r="J22" s="110"/>
      <c r="K22" s="110"/>
      <c r="L22" s="110"/>
    </row>
    <row r="23" spans="1:12" ht="21.95" customHeight="1" x14ac:dyDescent="0.3">
      <c r="B23" s="119" t="s">
        <v>19</v>
      </c>
      <c r="C23" s="119"/>
      <c r="D23" s="119"/>
      <c r="E23" s="119"/>
      <c r="F23" s="119"/>
      <c r="G23" s="119"/>
      <c r="H23" s="119"/>
      <c r="I23" s="120" t="s">
        <v>20</v>
      </c>
      <c r="J23" s="120"/>
      <c r="K23" s="120"/>
      <c r="L23" s="120"/>
    </row>
    <row r="24" spans="1:12" ht="23.1" customHeight="1" x14ac:dyDescent="0.3">
      <c r="B24" s="214" t="s">
        <v>149</v>
      </c>
      <c r="C24" s="214"/>
      <c r="D24" s="215" t="s">
        <v>21</v>
      </c>
      <c r="E24" s="216"/>
      <c r="F24" s="216"/>
      <c r="G24" s="215" t="s">
        <v>22</v>
      </c>
      <c r="H24" s="216"/>
      <c r="I24" s="216"/>
      <c r="J24" s="215" t="s">
        <v>23</v>
      </c>
      <c r="K24" s="216"/>
      <c r="L24" s="216"/>
    </row>
    <row r="25" spans="1:12" ht="20.100000000000001" customHeight="1" x14ac:dyDescent="0.3">
      <c r="B25" s="206">
        <v>10</v>
      </c>
      <c r="C25" s="207"/>
      <c r="D25" s="208" t="s">
        <v>24</v>
      </c>
      <c r="E25" s="209"/>
      <c r="F25" s="209"/>
      <c r="G25" s="210" t="s">
        <v>25</v>
      </c>
      <c r="H25" s="211"/>
      <c r="I25" s="211"/>
      <c r="J25" s="212">
        <f>'2. 상세견적'!J11</f>
        <v>40000000</v>
      </c>
      <c r="K25" s="213"/>
      <c r="L25" s="213"/>
    </row>
    <row r="26" spans="1:12" ht="20.100000000000001" customHeight="1" x14ac:dyDescent="0.3">
      <c r="B26" s="78">
        <v>20</v>
      </c>
      <c r="C26" s="79"/>
      <c r="D26" s="113" t="s">
        <v>26</v>
      </c>
      <c r="E26" s="114"/>
      <c r="F26" s="114"/>
      <c r="G26" s="115" t="s">
        <v>27</v>
      </c>
      <c r="H26" s="116"/>
      <c r="I26" s="116"/>
      <c r="J26" s="117">
        <f>'2. 상세견적'!J18</f>
        <v>10250000</v>
      </c>
      <c r="K26" s="118"/>
      <c r="L26" s="118"/>
    </row>
    <row r="27" spans="1:12" ht="20.100000000000001" customHeight="1" x14ac:dyDescent="0.3">
      <c r="B27" s="78">
        <v>30</v>
      </c>
      <c r="C27" s="79"/>
      <c r="D27" s="113" t="s">
        <v>28</v>
      </c>
      <c r="E27" s="114"/>
      <c r="F27" s="114"/>
      <c r="G27" s="115" t="s">
        <v>29</v>
      </c>
      <c r="H27" s="116"/>
      <c r="I27" s="116"/>
      <c r="J27" s="117">
        <f>'2. 상세견적'!J21</f>
        <v>16500000</v>
      </c>
      <c r="K27" s="118"/>
      <c r="L27" s="118"/>
    </row>
    <row r="28" spans="1:12" ht="20.100000000000001" customHeight="1" x14ac:dyDescent="0.3">
      <c r="B28" s="78">
        <v>40</v>
      </c>
      <c r="C28" s="79"/>
      <c r="D28" s="113" t="s">
        <v>30</v>
      </c>
      <c r="E28" s="114"/>
      <c r="F28" s="114"/>
      <c r="G28" s="115" t="s">
        <v>31</v>
      </c>
      <c r="H28" s="116"/>
      <c r="I28" s="116"/>
      <c r="J28" s="117">
        <f>'2. 상세견적'!J24</f>
        <v>16500000</v>
      </c>
      <c r="K28" s="118"/>
      <c r="L28" s="118"/>
    </row>
    <row r="29" spans="1:12" ht="20.100000000000001" customHeight="1" x14ac:dyDescent="0.3">
      <c r="B29" s="78">
        <v>50</v>
      </c>
      <c r="C29" s="79"/>
      <c r="D29" s="113" t="s">
        <v>32</v>
      </c>
      <c r="E29" s="114"/>
      <c r="F29" s="114"/>
      <c r="G29" s="115" t="s">
        <v>33</v>
      </c>
      <c r="H29" s="116"/>
      <c r="I29" s="116"/>
      <c r="J29" s="117">
        <f>'2. 상세견적'!J27</f>
        <v>8000000</v>
      </c>
      <c r="K29" s="118"/>
      <c r="L29" s="118"/>
    </row>
    <row r="30" spans="1:12" ht="20.100000000000001" customHeight="1" x14ac:dyDescent="0.3">
      <c r="B30" s="78">
        <v>60</v>
      </c>
      <c r="C30" s="79"/>
      <c r="D30" s="113" t="s">
        <v>34</v>
      </c>
      <c r="E30" s="114"/>
      <c r="F30" s="114"/>
      <c r="G30" s="115" t="s">
        <v>35</v>
      </c>
      <c r="H30" s="116"/>
      <c r="I30" s="116"/>
      <c r="J30" s="117">
        <f>'2. 상세견적'!J29</f>
        <v>7000000</v>
      </c>
      <c r="K30" s="118"/>
      <c r="L30" s="118"/>
    </row>
    <row r="31" spans="1:12" ht="20.100000000000001" customHeight="1" x14ac:dyDescent="0.3">
      <c r="B31" s="78">
        <v>70</v>
      </c>
      <c r="C31" s="79"/>
      <c r="D31" s="113" t="s">
        <v>36</v>
      </c>
      <c r="E31" s="114"/>
      <c r="F31" s="114"/>
      <c r="G31" s="115" t="s">
        <v>37</v>
      </c>
      <c r="H31" s="116"/>
      <c r="I31" s="116"/>
      <c r="J31" s="117">
        <f>'2. 상세견적'!J34</f>
        <v>12133875</v>
      </c>
      <c r="K31" s="118"/>
      <c r="L31" s="118"/>
    </row>
    <row r="32" spans="1:12" ht="20.100000000000001" customHeight="1" x14ac:dyDescent="0.3">
      <c r="B32" s="80" t="s">
        <v>38</v>
      </c>
      <c r="C32" s="81"/>
      <c r="D32" s="121" t="s">
        <v>39</v>
      </c>
      <c r="E32" s="122"/>
      <c r="F32" s="122"/>
      <c r="G32" s="123" t="s">
        <v>40</v>
      </c>
      <c r="H32" s="124"/>
      <c r="I32" s="124"/>
      <c r="J32" s="125">
        <f>'2. 상세견적'!J38</f>
        <v>-875</v>
      </c>
      <c r="K32" s="126"/>
      <c r="L32" s="126"/>
    </row>
    <row r="33" spans="1:13" ht="20.100000000000001" customHeight="1" x14ac:dyDescent="0.3">
      <c r="B33" s="82" t="s">
        <v>41</v>
      </c>
      <c r="C33" s="83"/>
      <c r="D33" s="127" t="s">
        <v>42</v>
      </c>
      <c r="E33" s="128"/>
      <c r="F33" s="128"/>
      <c r="G33" s="129" t="s">
        <v>43</v>
      </c>
      <c r="H33" s="130"/>
      <c r="I33" s="130"/>
      <c r="J33" s="131">
        <f>'2. 상세견적'!J39</f>
        <v>-10383000</v>
      </c>
      <c r="K33" s="132"/>
      <c r="L33" s="132"/>
    </row>
    <row r="34" spans="1:13" ht="12" customHeight="1" x14ac:dyDescent="0.3"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</row>
    <row r="35" spans="1:13" ht="21" customHeight="1" x14ac:dyDescent="0.3">
      <c r="B35" s="139" t="s">
        <v>44</v>
      </c>
      <c r="C35" s="139"/>
      <c r="D35" s="139"/>
      <c r="E35" s="139"/>
      <c r="F35" s="139"/>
      <c r="G35" s="141">
        <f>'2. 상세견적'!J40</f>
        <v>100000000</v>
      </c>
      <c r="H35" s="142"/>
      <c r="I35" s="142"/>
      <c r="J35" s="142"/>
      <c r="K35" s="142"/>
      <c r="L35" s="142"/>
    </row>
    <row r="36" spans="1:13" ht="21" customHeight="1" x14ac:dyDescent="0.3">
      <c r="B36" s="140"/>
      <c r="C36" s="140"/>
      <c r="D36" s="140"/>
      <c r="E36" s="140"/>
      <c r="F36" s="140"/>
      <c r="G36" s="143"/>
      <c r="H36" s="143"/>
      <c r="I36" s="143"/>
      <c r="J36" s="143"/>
      <c r="K36" s="143"/>
      <c r="L36" s="143"/>
    </row>
    <row r="37" spans="1:13" ht="18" customHeight="1" x14ac:dyDescent="0.3">
      <c r="B37" s="136" t="s">
        <v>45</v>
      </c>
      <c r="C37" s="136"/>
      <c r="D37" s="136"/>
      <c r="E37" s="136"/>
      <c r="F37" s="136"/>
      <c r="G37" s="137" t="s">
        <v>46</v>
      </c>
      <c r="H37" s="138"/>
      <c r="I37" s="138"/>
      <c r="J37" s="138"/>
      <c r="K37" s="138"/>
      <c r="L37" s="138"/>
    </row>
    <row r="38" spans="1:13" ht="20.100000000000001" customHeight="1" x14ac:dyDescent="0.3">
      <c r="A38" s="3"/>
      <c r="B38" s="133" t="s">
        <v>47</v>
      </c>
      <c r="C38" s="133"/>
      <c r="D38" s="133"/>
      <c r="E38" s="133"/>
      <c r="F38" s="133"/>
      <c r="G38" s="134">
        <f>'2. 상세견적'!J41</f>
        <v>110000000</v>
      </c>
      <c r="H38" s="135"/>
      <c r="I38" s="135"/>
      <c r="J38" s="135"/>
      <c r="K38" s="135"/>
      <c r="L38" s="135"/>
    </row>
    <row r="39" spans="1:13" ht="267.95" customHeight="1" x14ac:dyDescent="0.3">
      <c r="A39" s="3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</row>
    <row r="40" spans="1:13" ht="14.1" customHeight="1" x14ac:dyDescent="0.3">
      <c r="A40" s="3"/>
      <c r="B40" s="98" t="s">
        <v>48</v>
      </c>
      <c r="C40" s="99"/>
      <c r="D40" s="99"/>
      <c r="E40" s="99"/>
      <c r="F40" s="99"/>
      <c r="G40" s="98" t="s">
        <v>49</v>
      </c>
      <c r="H40" s="99"/>
      <c r="I40" s="99"/>
      <c r="J40" s="99"/>
      <c r="K40" s="99"/>
      <c r="L40" s="99"/>
    </row>
    <row r="41" spans="1:13" ht="18" customHeight="1" x14ac:dyDescent="0.3">
      <c r="A41" s="3"/>
      <c r="B41" s="100" t="s">
        <v>50</v>
      </c>
      <c r="C41" s="101"/>
      <c r="D41" s="101"/>
      <c r="E41" s="101"/>
      <c r="F41" s="101"/>
      <c r="G41" s="100" t="s">
        <v>51</v>
      </c>
      <c r="H41" s="101"/>
      <c r="I41" s="101"/>
      <c r="J41" s="101"/>
      <c r="K41" s="101"/>
      <c r="L41" s="101"/>
    </row>
    <row r="42" spans="1:13" ht="14.1" customHeight="1" x14ac:dyDescent="0.3">
      <c r="A42" s="3"/>
      <c r="B42" s="98" t="s">
        <v>52</v>
      </c>
      <c r="C42" s="99"/>
      <c r="D42" s="99"/>
      <c r="E42" s="99"/>
      <c r="F42" s="99"/>
      <c r="G42" s="98" t="s">
        <v>53</v>
      </c>
      <c r="H42" s="99"/>
      <c r="I42" s="99"/>
      <c r="J42" s="99"/>
      <c r="K42" s="99"/>
      <c r="L42" s="99"/>
    </row>
    <row r="43" spans="1:13" ht="18" customHeight="1" x14ac:dyDescent="0.3">
      <c r="A43" s="3"/>
      <c r="B43" s="100" t="s">
        <v>54</v>
      </c>
      <c r="C43" s="101"/>
      <c r="D43" s="101"/>
      <c r="E43" s="101"/>
      <c r="F43" s="101"/>
      <c r="G43" s="100" t="s">
        <v>55</v>
      </c>
      <c r="H43" s="101"/>
      <c r="I43" s="101"/>
      <c r="J43" s="101"/>
      <c r="K43" s="101"/>
      <c r="L43" s="101"/>
    </row>
    <row r="44" spans="1:13" ht="6" customHeight="1" x14ac:dyDescent="0.3">
      <c r="A44" s="3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spans="1:13" ht="14.1" customHeight="1" x14ac:dyDescent="0.3">
      <c r="A45" s="3"/>
      <c r="B45" s="92" t="s">
        <v>56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</row>
    <row r="46" spans="1:13" ht="14.1" customHeight="1" x14ac:dyDescent="0.3">
      <c r="A46" s="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</row>
    <row r="47" spans="1:13" ht="9.9499999999999993" customHeight="1" x14ac:dyDescent="0.3">
      <c r="A47" s="3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spans="1:13" ht="9.9499999999999993" customHeight="1" x14ac:dyDescent="0.3">
      <c r="A48" s="68"/>
      <c r="B48" s="94" t="s">
        <v>57</v>
      </c>
      <c r="C48" s="94"/>
      <c r="D48" s="94"/>
      <c r="E48" s="94"/>
      <c r="F48" s="94"/>
      <c r="G48" s="96" t="s">
        <v>58</v>
      </c>
      <c r="H48" s="96"/>
      <c r="I48" s="96"/>
      <c r="J48" s="96"/>
      <c r="K48" s="96"/>
      <c r="L48" s="96"/>
      <c r="M48" s="69"/>
    </row>
    <row r="49" spans="1:13" ht="14.1" customHeight="1" x14ac:dyDescent="0.3">
      <c r="A49" s="67"/>
      <c r="B49" s="95"/>
      <c r="C49" s="95"/>
      <c r="D49" s="95"/>
      <c r="E49" s="95"/>
      <c r="F49" s="95"/>
      <c r="G49" s="97"/>
      <c r="H49" s="97"/>
      <c r="I49" s="97"/>
      <c r="J49" s="97"/>
      <c r="K49" s="97"/>
      <c r="L49" s="97"/>
      <c r="M49" s="66"/>
    </row>
    <row r="50" spans="1:13" ht="9.9499999999999993" customHeight="1" x14ac:dyDescent="0.3">
      <c r="A50" s="67"/>
      <c r="B50" s="95"/>
      <c r="C50" s="95"/>
      <c r="D50" s="95"/>
      <c r="E50" s="95"/>
      <c r="F50" s="95"/>
      <c r="G50" s="97"/>
      <c r="H50" s="97"/>
      <c r="I50" s="97"/>
      <c r="J50" s="97"/>
      <c r="K50" s="97"/>
      <c r="L50" s="97"/>
      <c r="M50" s="66"/>
    </row>
  </sheetData>
  <mergeCells count="65">
    <mergeCell ref="B41:F41"/>
    <mergeCell ref="G41:L41"/>
    <mergeCell ref="D33:F33"/>
    <mergeCell ref="G33:I33"/>
    <mergeCell ref="J33:L33"/>
    <mergeCell ref="B40:F40"/>
    <mergeCell ref="G40:L40"/>
    <mergeCell ref="B38:F38"/>
    <mergeCell ref="G38:L38"/>
    <mergeCell ref="B37:F37"/>
    <mergeCell ref="G37:L37"/>
    <mergeCell ref="B35:F36"/>
    <mergeCell ref="G35:L36"/>
    <mergeCell ref="D31:F31"/>
    <mergeCell ref="G31:I31"/>
    <mergeCell ref="J31:L31"/>
    <mergeCell ref="D32:F32"/>
    <mergeCell ref="G32:I32"/>
    <mergeCell ref="J32:L32"/>
    <mergeCell ref="D29:F29"/>
    <mergeCell ref="G29:I29"/>
    <mergeCell ref="J29:L29"/>
    <mergeCell ref="D30:F30"/>
    <mergeCell ref="G30:I30"/>
    <mergeCell ref="J30:L30"/>
    <mergeCell ref="D27:F27"/>
    <mergeCell ref="G27:I27"/>
    <mergeCell ref="J27:L27"/>
    <mergeCell ref="D28:F28"/>
    <mergeCell ref="G28:I28"/>
    <mergeCell ref="J28:L28"/>
    <mergeCell ref="D26:F26"/>
    <mergeCell ref="G26:I26"/>
    <mergeCell ref="J26:L26"/>
    <mergeCell ref="B23:H23"/>
    <mergeCell ref="I23:L23"/>
    <mergeCell ref="D24:F24"/>
    <mergeCell ref="G24:I24"/>
    <mergeCell ref="J24:L24"/>
    <mergeCell ref="D25:F25"/>
    <mergeCell ref="G25:I25"/>
    <mergeCell ref="J25:L25"/>
    <mergeCell ref="G19:L19"/>
    <mergeCell ref="H20:L20"/>
    <mergeCell ref="H21:L21"/>
    <mergeCell ref="H22:L22"/>
    <mergeCell ref="B15:F15"/>
    <mergeCell ref="G15:L15"/>
    <mergeCell ref="B16:F17"/>
    <mergeCell ref="G16:L17"/>
    <mergeCell ref="B19:F19"/>
    <mergeCell ref="B20:F22"/>
    <mergeCell ref="H5:K5"/>
    <mergeCell ref="H6:K6"/>
    <mergeCell ref="H7:K7"/>
    <mergeCell ref="B12:L13"/>
    <mergeCell ref="B9:L10"/>
    <mergeCell ref="B11:L11"/>
    <mergeCell ref="B45:L46"/>
    <mergeCell ref="B48:F50"/>
    <mergeCell ref="G48:L50"/>
    <mergeCell ref="B42:F42"/>
    <mergeCell ref="G42:L42"/>
    <mergeCell ref="B43:F43"/>
    <mergeCell ref="G43:L43"/>
  </mergeCells>
  <phoneticPr fontId="17" type="noConversion"/>
  <pageMargins left="0" right="0" top="0" bottom="0" header="0" footer="0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40"/>
  <sheetViews>
    <sheetView showGridLines="0" workbookViewId="0"/>
  </sheetViews>
  <sheetFormatPr defaultRowHeight="16.5" x14ac:dyDescent="0.3"/>
  <cols>
    <col min="1" max="1" width="5.125" customWidth="1"/>
    <col min="2" max="2" width="10" customWidth="1"/>
    <col min="3" max="3" width="15" customWidth="1"/>
    <col min="4" max="4" width="8" customWidth="1"/>
    <col min="5" max="6" width="21" customWidth="1"/>
    <col min="7" max="8" width="8" customWidth="1"/>
    <col min="9" max="9" width="12" customWidth="1"/>
    <col min="10" max="10" width="14" customWidth="1"/>
    <col min="11" max="11" width="5.125" customWidth="1"/>
    <col min="12" max="17" width="6.625" customWidth="1"/>
  </cols>
  <sheetData>
    <row r="1" spans="1:17" ht="3.95" customHeight="1" x14ac:dyDescent="0.3"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ht="2.1" customHeight="1" x14ac:dyDescent="0.3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 spans="1:17" ht="6.95" customHeight="1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2.95" customHeight="1" x14ac:dyDescent="0.3">
      <c r="A4" s="70"/>
      <c r="B4" s="10"/>
      <c r="C4" s="10"/>
      <c r="D4" s="10"/>
      <c r="E4" s="10"/>
      <c r="F4" s="10"/>
      <c r="G4" s="10"/>
      <c r="H4" s="10"/>
      <c r="I4" s="10"/>
      <c r="J4" s="10"/>
      <c r="K4" s="65"/>
      <c r="L4" s="10"/>
      <c r="M4" s="10"/>
      <c r="N4" s="10"/>
      <c r="O4" s="10"/>
      <c r="P4" s="10"/>
      <c r="Q4" s="10"/>
    </row>
    <row r="5" spans="1:17" ht="20.100000000000001" customHeight="1" x14ac:dyDescent="0.3">
      <c r="A5" s="70"/>
      <c r="B5" s="166" t="s">
        <v>59</v>
      </c>
      <c r="C5" s="166"/>
      <c r="D5" s="166"/>
      <c r="E5" s="166"/>
      <c r="F5" s="166"/>
      <c r="G5" s="168" t="s">
        <v>1</v>
      </c>
      <c r="H5" s="168"/>
      <c r="I5" s="168"/>
      <c r="J5" s="168"/>
      <c r="K5" s="65"/>
      <c r="L5" s="158" t="s">
        <v>60</v>
      </c>
      <c r="M5" s="159"/>
      <c r="N5" s="159"/>
      <c r="O5" s="159"/>
      <c r="P5" s="159"/>
      <c r="Q5" s="159"/>
    </row>
    <row r="6" spans="1:17" ht="20.100000000000001" customHeight="1" x14ac:dyDescent="0.3">
      <c r="A6" s="70"/>
      <c r="B6" s="167" t="s">
        <v>61</v>
      </c>
      <c r="C6" s="167"/>
      <c r="D6" s="167"/>
      <c r="E6" s="167"/>
      <c r="F6" s="167"/>
      <c r="G6" s="169" t="s">
        <v>5</v>
      </c>
      <c r="H6" s="169"/>
      <c r="I6" s="169"/>
      <c r="J6" s="169"/>
      <c r="K6" s="65"/>
      <c r="L6" s="160" t="s">
        <v>62</v>
      </c>
      <c r="M6" s="161"/>
      <c r="N6" s="161"/>
      <c r="O6" s="161"/>
      <c r="P6" s="161"/>
      <c r="Q6" s="161"/>
    </row>
    <row r="7" spans="1:17" x14ac:dyDescent="0.3">
      <c r="A7" s="70"/>
      <c r="B7" s="10"/>
      <c r="C7" s="10"/>
      <c r="D7" s="10"/>
      <c r="E7" s="10"/>
      <c r="F7" s="10"/>
      <c r="G7" s="10"/>
      <c r="H7" s="10"/>
      <c r="I7" s="10"/>
      <c r="J7" s="10"/>
      <c r="K7" s="65"/>
      <c r="L7" s="160"/>
      <c r="M7" s="161"/>
      <c r="N7" s="161"/>
      <c r="O7" s="161"/>
      <c r="P7" s="161"/>
      <c r="Q7" s="161"/>
    </row>
    <row r="8" spans="1:17" ht="18" customHeight="1" x14ac:dyDescent="0.3">
      <c r="A8" s="70"/>
      <c r="B8" s="170" t="s">
        <v>63</v>
      </c>
      <c r="C8" s="170"/>
      <c r="D8" s="170"/>
      <c r="E8" s="170"/>
      <c r="F8" s="170"/>
      <c r="G8" s="171" t="s">
        <v>20</v>
      </c>
      <c r="H8" s="171"/>
      <c r="I8" s="171"/>
      <c r="J8" s="171"/>
      <c r="K8" s="65"/>
      <c r="L8" s="162" t="s">
        <v>64</v>
      </c>
      <c r="M8" s="163"/>
      <c r="N8" s="163"/>
      <c r="O8" s="163" t="s">
        <v>65</v>
      </c>
      <c r="P8" s="163"/>
      <c r="Q8" s="163"/>
    </row>
    <row r="9" spans="1:17" ht="5.0999999999999996" customHeight="1" x14ac:dyDescent="0.3">
      <c r="A9" s="70"/>
      <c r="B9" s="10"/>
      <c r="C9" s="10"/>
      <c r="D9" s="10"/>
      <c r="E9" s="10"/>
      <c r="F9" s="10"/>
      <c r="G9" s="10"/>
      <c r="H9" s="10"/>
      <c r="I9" s="10"/>
      <c r="J9" s="10"/>
      <c r="K9" s="65"/>
      <c r="L9" s="164">
        <f>$J$37</f>
        <v>110383875</v>
      </c>
      <c r="M9" s="165"/>
      <c r="N9" s="165"/>
      <c r="O9" s="165">
        <f>$J$40</f>
        <v>100000000</v>
      </c>
      <c r="P9" s="165"/>
      <c r="Q9" s="165"/>
    </row>
    <row r="10" spans="1:17" ht="23.1" customHeight="1" x14ac:dyDescent="0.3">
      <c r="A10" s="70"/>
      <c r="B10" s="4" t="s">
        <v>66</v>
      </c>
      <c r="C10" s="157" t="s">
        <v>67</v>
      </c>
      <c r="D10" s="157"/>
      <c r="E10" s="157" t="s">
        <v>68</v>
      </c>
      <c r="F10" s="157"/>
      <c r="G10" s="5" t="s">
        <v>69</v>
      </c>
      <c r="H10" s="6" t="s">
        <v>70</v>
      </c>
      <c r="I10" s="6" t="s">
        <v>71</v>
      </c>
      <c r="J10" s="7" t="s">
        <v>23</v>
      </c>
      <c r="K10" s="65"/>
      <c r="L10" s="164"/>
      <c r="M10" s="165"/>
      <c r="N10" s="165"/>
      <c r="O10" s="165"/>
      <c r="P10" s="165"/>
      <c r="Q10" s="165"/>
    </row>
    <row r="11" spans="1:17" ht="20.100000000000001" customHeight="1" x14ac:dyDescent="0.3">
      <c r="A11" s="70"/>
      <c r="B11" s="40">
        <v>10</v>
      </c>
      <c r="C11" s="172" t="s">
        <v>24</v>
      </c>
      <c r="D11" s="172"/>
      <c r="E11" s="172" t="s">
        <v>72</v>
      </c>
      <c r="F11" s="172"/>
      <c r="G11" s="41"/>
      <c r="H11" s="41"/>
      <c r="I11" s="42"/>
      <c r="J11" s="43">
        <f>SUM(J12,J15)</f>
        <v>40000000</v>
      </c>
      <c r="K11" s="65"/>
      <c r="L11" s="164"/>
      <c r="M11" s="165"/>
      <c r="N11" s="165"/>
      <c r="O11" s="165"/>
      <c r="P11" s="165"/>
      <c r="Q11" s="165"/>
    </row>
    <row r="12" spans="1:17" ht="18.95" customHeight="1" x14ac:dyDescent="0.3">
      <c r="A12" s="70"/>
      <c r="B12" s="44">
        <v>11</v>
      </c>
      <c r="C12" s="173" t="s">
        <v>73</v>
      </c>
      <c r="D12" s="173"/>
      <c r="E12" s="173" t="s">
        <v>74</v>
      </c>
      <c r="F12" s="173"/>
      <c r="G12" s="45"/>
      <c r="H12" s="45"/>
      <c r="I12" s="46"/>
      <c r="J12" s="47">
        <f>SUM(J13:J14)</f>
        <v>30000000</v>
      </c>
      <c r="K12" s="65"/>
      <c r="L12" s="146" t="s">
        <v>75</v>
      </c>
      <c r="M12" s="147"/>
      <c r="N12" s="147"/>
      <c r="O12" s="147"/>
      <c r="P12" s="150">
        <f>ABS(($J$38+$J$39)/$J$37)</f>
        <v>9.4070578696390211E-2</v>
      </c>
      <c r="Q12" s="150"/>
    </row>
    <row r="13" spans="1:17" ht="20.100000000000001" customHeight="1" x14ac:dyDescent="0.3">
      <c r="A13" s="70"/>
      <c r="B13" s="18">
        <v>11.01</v>
      </c>
      <c r="C13" s="174" t="s">
        <v>76</v>
      </c>
      <c r="D13" s="174"/>
      <c r="E13" s="175" t="s">
        <v>77</v>
      </c>
      <c r="F13" s="175"/>
      <c r="G13" s="14" t="s">
        <v>78</v>
      </c>
      <c r="H13" s="14">
        <v>1</v>
      </c>
      <c r="I13" s="16">
        <v>20000000</v>
      </c>
      <c r="J13" s="17">
        <f>H13*I13</f>
        <v>20000000</v>
      </c>
      <c r="K13" s="65"/>
      <c r="L13" s="62"/>
      <c r="M13" s="63"/>
      <c r="N13" s="63"/>
      <c r="O13" s="63"/>
      <c r="P13" s="63"/>
      <c r="Q13" s="63"/>
    </row>
    <row r="14" spans="1:17" ht="20.100000000000001" customHeight="1" x14ac:dyDescent="0.3">
      <c r="A14" s="70"/>
      <c r="B14" s="18">
        <v>11.02</v>
      </c>
      <c r="C14" s="174" t="s">
        <v>79</v>
      </c>
      <c r="D14" s="174"/>
      <c r="E14" s="175" t="s">
        <v>77</v>
      </c>
      <c r="F14" s="175"/>
      <c r="G14" s="14" t="s">
        <v>78</v>
      </c>
      <c r="H14" s="14">
        <v>1</v>
      </c>
      <c r="I14" s="16">
        <v>10000000</v>
      </c>
      <c r="J14" s="17">
        <f>H14*I14</f>
        <v>10000000</v>
      </c>
      <c r="K14" s="65"/>
      <c r="L14" s="148" t="s">
        <v>80</v>
      </c>
      <c r="M14" s="149"/>
      <c r="N14" s="149"/>
      <c r="O14" s="149"/>
      <c r="P14" s="149"/>
      <c r="Q14" s="149"/>
    </row>
    <row r="15" spans="1:17" ht="18.95" customHeight="1" x14ac:dyDescent="0.3">
      <c r="A15" s="70"/>
      <c r="B15" s="44">
        <v>12</v>
      </c>
      <c r="C15" s="173" t="s">
        <v>81</v>
      </c>
      <c r="D15" s="173"/>
      <c r="E15" s="173" t="s">
        <v>74</v>
      </c>
      <c r="F15" s="173"/>
      <c r="G15" s="45"/>
      <c r="H15" s="45"/>
      <c r="I15" s="46"/>
      <c r="J15" s="47">
        <f>SUM(J16:J17)</f>
        <v>10000000</v>
      </c>
      <c r="K15" s="65"/>
      <c r="L15" s="62"/>
      <c r="M15" s="63"/>
      <c r="N15" s="63"/>
      <c r="O15" s="63"/>
      <c r="P15" s="63"/>
      <c r="Q15" s="63"/>
    </row>
    <row r="16" spans="1:17" ht="20.100000000000001" customHeight="1" x14ac:dyDescent="0.3">
      <c r="A16" s="70"/>
      <c r="B16" s="18">
        <v>12.01</v>
      </c>
      <c r="C16" s="174" t="s">
        <v>82</v>
      </c>
      <c r="D16" s="174"/>
      <c r="E16" s="175" t="s">
        <v>77</v>
      </c>
      <c r="F16" s="175"/>
      <c r="G16" s="14" t="s">
        <v>78</v>
      </c>
      <c r="H16" s="14">
        <v>1</v>
      </c>
      <c r="I16" s="16">
        <v>8000000</v>
      </c>
      <c r="J16" s="17">
        <f>H16*I16</f>
        <v>8000000</v>
      </c>
      <c r="K16" s="65"/>
      <c r="L16" s="145" t="s">
        <v>83</v>
      </c>
      <c r="M16" s="144"/>
      <c r="N16" s="144"/>
      <c r="O16" s="144"/>
      <c r="P16" s="144"/>
      <c r="Q16" s="64">
        <f>$J$11/$J$33</f>
        <v>0.40712468193384221</v>
      </c>
    </row>
    <row r="17" spans="1:17" ht="20.100000000000001" customHeight="1" x14ac:dyDescent="0.3">
      <c r="A17" s="70"/>
      <c r="B17" s="18">
        <v>12.02</v>
      </c>
      <c r="C17" s="174" t="s">
        <v>84</v>
      </c>
      <c r="D17" s="174"/>
      <c r="E17" s="175" t="s">
        <v>77</v>
      </c>
      <c r="F17" s="175"/>
      <c r="G17" s="14" t="s">
        <v>78</v>
      </c>
      <c r="H17" s="14">
        <v>1</v>
      </c>
      <c r="I17" s="16">
        <v>2000000</v>
      </c>
      <c r="J17" s="17">
        <f>H17*I17</f>
        <v>2000000</v>
      </c>
      <c r="K17" s="65"/>
      <c r="L17" s="62"/>
      <c r="M17" s="63"/>
      <c r="N17" s="60"/>
      <c r="O17" s="60"/>
      <c r="P17" s="60"/>
      <c r="Q17" s="61"/>
    </row>
    <row r="18" spans="1:17" ht="20.100000000000001" customHeight="1" x14ac:dyDescent="0.3">
      <c r="A18" s="70"/>
      <c r="B18" s="40">
        <v>20</v>
      </c>
      <c r="C18" s="172" t="s">
        <v>26</v>
      </c>
      <c r="D18" s="172"/>
      <c r="E18" s="172" t="s">
        <v>85</v>
      </c>
      <c r="F18" s="172"/>
      <c r="G18" s="41"/>
      <c r="H18" s="41"/>
      <c r="I18" s="42"/>
      <c r="J18" s="43">
        <f>SUM(J19:J20)</f>
        <v>10250000</v>
      </c>
      <c r="K18" s="65"/>
      <c r="L18" s="62"/>
      <c r="M18" s="63"/>
      <c r="N18" s="60"/>
      <c r="O18" s="60"/>
      <c r="P18" s="60"/>
      <c r="Q18" s="61"/>
    </row>
    <row r="19" spans="1:17" ht="20.100000000000001" customHeight="1" x14ac:dyDescent="0.3">
      <c r="A19" s="70"/>
      <c r="B19" s="18">
        <v>20.010000000000002</v>
      </c>
      <c r="C19" s="176" t="s">
        <v>86</v>
      </c>
      <c r="D19" s="176"/>
      <c r="E19" s="176" t="s">
        <v>87</v>
      </c>
      <c r="F19" s="176"/>
      <c r="G19" s="14" t="s">
        <v>88</v>
      </c>
      <c r="H19" s="14">
        <v>20</v>
      </c>
      <c r="I19" s="16">
        <f>'3. 인건비 기준'!$D$11</f>
        <v>400000</v>
      </c>
      <c r="J19" s="17">
        <f>H19*I19</f>
        <v>8000000</v>
      </c>
      <c r="K19" s="65"/>
      <c r="L19" s="145" t="s">
        <v>89</v>
      </c>
      <c r="M19" s="144"/>
      <c r="N19" s="144"/>
      <c r="O19" s="144"/>
      <c r="P19" s="144"/>
      <c r="Q19" s="64">
        <f>SUM($J$18,$J$21,$J$24,$J$27)/$J$33</f>
        <v>0.52162849872773542</v>
      </c>
    </row>
    <row r="20" spans="1:17" ht="20.100000000000001" customHeight="1" x14ac:dyDescent="0.3">
      <c r="A20" s="70"/>
      <c r="B20" s="18">
        <v>20.02</v>
      </c>
      <c r="C20" s="176" t="s">
        <v>90</v>
      </c>
      <c r="D20" s="176"/>
      <c r="E20" s="176" t="s">
        <v>91</v>
      </c>
      <c r="F20" s="176"/>
      <c r="G20" s="14" t="s">
        <v>88</v>
      </c>
      <c r="H20" s="14">
        <v>5</v>
      </c>
      <c r="I20" s="16">
        <f>'3. 인건비 기준'!$D$12</f>
        <v>450000</v>
      </c>
      <c r="J20" s="17">
        <f>H20*I20</f>
        <v>2250000</v>
      </c>
      <c r="K20" s="65"/>
      <c r="L20" s="62"/>
      <c r="M20" s="63"/>
      <c r="N20" s="60"/>
      <c r="O20" s="60"/>
      <c r="P20" s="60"/>
      <c r="Q20" s="61"/>
    </row>
    <row r="21" spans="1:17" ht="20.100000000000001" customHeight="1" x14ac:dyDescent="0.3">
      <c r="A21" s="70"/>
      <c r="B21" s="40">
        <v>30</v>
      </c>
      <c r="C21" s="172" t="s">
        <v>28</v>
      </c>
      <c r="D21" s="172"/>
      <c r="E21" s="172" t="s">
        <v>85</v>
      </c>
      <c r="F21" s="172"/>
      <c r="G21" s="41"/>
      <c r="H21" s="41"/>
      <c r="I21" s="42"/>
      <c r="J21" s="43">
        <f>SUM(J22:J23)</f>
        <v>16500000</v>
      </c>
      <c r="K21" s="65"/>
      <c r="L21" s="62"/>
      <c r="M21" s="63"/>
      <c r="N21" s="60"/>
      <c r="O21" s="60"/>
      <c r="P21" s="60"/>
      <c r="Q21" s="61"/>
    </row>
    <row r="22" spans="1:17" ht="20.100000000000001" customHeight="1" x14ac:dyDescent="0.3">
      <c r="A22" s="70"/>
      <c r="B22" s="18">
        <v>30.01</v>
      </c>
      <c r="C22" s="176" t="s">
        <v>92</v>
      </c>
      <c r="D22" s="176"/>
      <c r="E22" s="176" t="s">
        <v>87</v>
      </c>
      <c r="F22" s="176"/>
      <c r="G22" s="14" t="s">
        <v>88</v>
      </c>
      <c r="H22" s="14">
        <v>30</v>
      </c>
      <c r="I22" s="16">
        <f>'3. 인건비 기준'!$D$11</f>
        <v>400000</v>
      </c>
      <c r="J22" s="17">
        <f>H22*I22</f>
        <v>12000000</v>
      </c>
      <c r="K22" s="65"/>
      <c r="L22" s="145" t="s">
        <v>93</v>
      </c>
      <c r="M22" s="144"/>
      <c r="N22" s="144"/>
      <c r="O22" s="144"/>
      <c r="P22" s="144"/>
      <c r="Q22" s="64">
        <f>$J$29/$J$33</f>
        <v>7.124681933842239E-2</v>
      </c>
    </row>
    <row r="23" spans="1:17" ht="20.100000000000001" customHeight="1" x14ac:dyDescent="0.3">
      <c r="A23" s="70"/>
      <c r="B23" s="18">
        <v>30.02</v>
      </c>
      <c r="C23" s="176" t="s">
        <v>94</v>
      </c>
      <c r="D23" s="176"/>
      <c r="E23" s="176" t="s">
        <v>91</v>
      </c>
      <c r="F23" s="176"/>
      <c r="G23" s="14" t="s">
        <v>88</v>
      </c>
      <c r="H23" s="14">
        <v>10</v>
      </c>
      <c r="I23" s="16">
        <f>'3. 인건비 기준'!$D$12</f>
        <v>450000</v>
      </c>
      <c r="J23" s="17">
        <f>H23*I23</f>
        <v>4500000</v>
      </c>
      <c r="K23" s="65"/>
      <c r="L23" s="62"/>
      <c r="M23" s="63"/>
      <c r="N23" s="63"/>
      <c r="O23" s="63"/>
      <c r="P23" s="63"/>
      <c r="Q23" s="63"/>
    </row>
    <row r="24" spans="1:17" ht="20.100000000000001" customHeight="1" x14ac:dyDescent="0.3">
      <c r="A24" s="70"/>
      <c r="B24" s="40">
        <v>40</v>
      </c>
      <c r="C24" s="172" t="s">
        <v>30</v>
      </c>
      <c r="D24" s="172"/>
      <c r="E24" s="172" t="s">
        <v>85</v>
      </c>
      <c r="F24" s="172"/>
      <c r="G24" s="41"/>
      <c r="H24" s="41"/>
      <c r="I24" s="42"/>
      <c r="J24" s="43">
        <f>SUM(J25:J26)</f>
        <v>16500000</v>
      </c>
      <c r="K24" s="65"/>
      <c r="L24" s="146" t="str">
        <f>"직접비 "&amp;TEXT($J$33,"#,##0")&amp;"원 기준"</f>
        <v>직접비 98,250,000원 기준</v>
      </c>
      <c r="M24" s="147"/>
      <c r="N24" s="147"/>
      <c r="O24" s="147"/>
      <c r="P24" s="147"/>
      <c r="Q24" s="147"/>
    </row>
    <row r="25" spans="1:17" ht="20.100000000000001" customHeight="1" x14ac:dyDescent="0.3">
      <c r="A25" s="70"/>
      <c r="B25" s="18">
        <v>40.01</v>
      </c>
      <c r="C25" s="176" t="s">
        <v>95</v>
      </c>
      <c r="D25" s="176"/>
      <c r="E25" s="176" t="s">
        <v>87</v>
      </c>
      <c r="F25" s="176"/>
      <c r="G25" s="14" t="s">
        <v>88</v>
      </c>
      <c r="H25" s="14">
        <v>30</v>
      </c>
      <c r="I25" s="16">
        <f>'3. 인건비 기준'!$D$11</f>
        <v>400000</v>
      </c>
      <c r="J25" s="17">
        <f>H25*I25</f>
        <v>12000000</v>
      </c>
      <c r="K25" s="65"/>
      <c r="L25" s="62"/>
      <c r="M25" s="63"/>
      <c r="N25" s="63"/>
      <c r="O25" s="63"/>
      <c r="P25" s="63"/>
      <c r="Q25" s="63"/>
    </row>
    <row r="26" spans="1:17" ht="20.100000000000001" customHeight="1" x14ac:dyDescent="0.3">
      <c r="A26" s="70"/>
      <c r="B26" s="18">
        <v>40.020000000000003</v>
      </c>
      <c r="C26" s="176" t="s">
        <v>96</v>
      </c>
      <c r="D26" s="176"/>
      <c r="E26" s="176" t="s">
        <v>91</v>
      </c>
      <c r="F26" s="176"/>
      <c r="G26" s="14" t="s">
        <v>88</v>
      </c>
      <c r="H26" s="14">
        <v>10</v>
      </c>
      <c r="I26" s="16">
        <f>'3. 인건비 기준'!$D$12</f>
        <v>450000</v>
      </c>
      <c r="J26" s="17">
        <f>H26*I26</f>
        <v>4500000</v>
      </c>
      <c r="K26" s="65"/>
      <c r="L26" s="62"/>
      <c r="M26" s="63"/>
      <c r="N26" s="63"/>
      <c r="O26" s="63"/>
      <c r="P26" s="63"/>
      <c r="Q26" s="63"/>
    </row>
    <row r="27" spans="1:17" ht="20.100000000000001" customHeight="1" x14ac:dyDescent="0.3">
      <c r="A27" s="70"/>
      <c r="B27" s="40">
        <v>50</v>
      </c>
      <c r="C27" s="172" t="s">
        <v>32</v>
      </c>
      <c r="D27" s="172"/>
      <c r="E27" s="172" t="s">
        <v>85</v>
      </c>
      <c r="F27" s="172"/>
      <c r="G27" s="41"/>
      <c r="H27" s="41"/>
      <c r="I27" s="42"/>
      <c r="J27" s="43">
        <f>SUM(J28:J28)</f>
        <v>8000000</v>
      </c>
      <c r="K27" s="65"/>
      <c r="L27" s="148" t="s">
        <v>97</v>
      </c>
      <c r="M27" s="149"/>
      <c r="N27" s="149"/>
      <c r="O27" s="149"/>
      <c r="P27" s="149"/>
      <c r="Q27" s="149"/>
    </row>
    <row r="28" spans="1:17" ht="20.100000000000001" customHeight="1" x14ac:dyDescent="0.3">
      <c r="A28" s="70"/>
      <c r="B28" s="18">
        <v>50.01</v>
      </c>
      <c r="C28" s="176" t="s">
        <v>98</v>
      </c>
      <c r="D28" s="176"/>
      <c r="E28" s="176" t="s">
        <v>87</v>
      </c>
      <c r="F28" s="176"/>
      <c r="G28" s="14" t="s">
        <v>88</v>
      </c>
      <c r="H28" s="14">
        <v>20</v>
      </c>
      <c r="I28" s="16">
        <f>'3. 인건비 기준'!$D$11</f>
        <v>400000</v>
      </c>
      <c r="J28" s="17">
        <f>H28*I28</f>
        <v>8000000</v>
      </c>
      <c r="K28" s="65"/>
      <c r="L28" s="62"/>
      <c r="M28" s="63"/>
      <c r="N28" s="63"/>
      <c r="O28" s="63"/>
      <c r="P28" s="63"/>
      <c r="Q28" s="63"/>
    </row>
    <row r="29" spans="1:17" ht="20.100000000000001" customHeight="1" x14ac:dyDescent="0.3">
      <c r="A29" s="70"/>
      <c r="B29" s="40">
        <v>60</v>
      </c>
      <c r="C29" s="172" t="s">
        <v>34</v>
      </c>
      <c r="D29" s="172"/>
      <c r="E29" s="172" t="s">
        <v>99</v>
      </c>
      <c r="F29" s="172"/>
      <c r="G29" s="41"/>
      <c r="H29" s="41"/>
      <c r="I29" s="42"/>
      <c r="J29" s="43">
        <f>SUM(J30:J32)</f>
        <v>7000000</v>
      </c>
      <c r="K29" s="65"/>
      <c r="L29" s="146" t="s">
        <v>100</v>
      </c>
      <c r="M29" s="147"/>
      <c r="N29" s="147"/>
      <c r="O29" s="147"/>
      <c r="P29" s="150">
        <f>$J$18/SUM($J$18,$J$21,$J$24,$J$27)</f>
        <v>0.2</v>
      </c>
      <c r="Q29" s="150"/>
    </row>
    <row r="30" spans="1:17" ht="20.100000000000001" customHeight="1" x14ac:dyDescent="0.3">
      <c r="A30" s="70"/>
      <c r="B30" s="19">
        <v>60.01</v>
      </c>
      <c r="C30" s="178" t="s">
        <v>101</v>
      </c>
      <c r="D30" s="178"/>
      <c r="E30" s="178" t="s">
        <v>102</v>
      </c>
      <c r="F30" s="178"/>
      <c r="G30" s="11" t="s">
        <v>78</v>
      </c>
      <c r="H30" s="11">
        <v>1</v>
      </c>
      <c r="I30" s="12">
        <v>3000000</v>
      </c>
      <c r="J30" s="13">
        <f>H30*I30</f>
        <v>3000000</v>
      </c>
      <c r="K30" s="65"/>
      <c r="L30" s="151" t="s">
        <v>103</v>
      </c>
      <c r="M30" s="152"/>
      <c r="N30" s="152"/>
      <c r="O30" s="152"/>
      <c r="P30" s="153">
        <f>$J$21/SUM($J$18,$J$21,$J$24,$J$27)</f>
        <v>0.32195121951219513</v>
      </c>
      <c r="Q30" s="153"/>
    </row>
    <row r="31" spans="1:17" ht="20.100000000000001" customHeight="1" x14ac:dyDescent="0.3">
      <c r="A31" s="70"/>
      <c r="B31" s="18">
        <v>60.02</v>
      </c>
      <c r="C31" s="174" t="s">
        <v>104</v>
      </c>
      <c r="D31" s="174"/>
      <c r="E31" s="174" t="s">
        <v>102</v>
      </c>
      <c r="F31" s="174"/>
      <c r="G31" s="14" t="s">
        <v>78</v>
      </c>
      <c r="H31" s="14">
        <v>1</v>
      </c>
      <c r="I31" s="16">
        <v>2000000</v>
      </c>
      <c r="J31" s="17">
        <f>H31*I31</f>
        <v>2000000</v>
      </c>
      <c r="K31" s="65"/>
      <c r="L31" s="151" t="s">
        <v>105</v>
      </c>
      <c r="M31" s="152"/>
      <c r="N31" s="152"/>
      <c r="O31" s="152"/>
      <c r="P31" s="153">
        <f>$J$24/SUM($J$18,$J$21,$J$24,$J$27)</f>
        <v>0.32195121951219513</v>
      </c>
      <c r="Q31" s="153"/>
    </row>
    <row r="32" spans="1:17" ht="20.100000000000001" customHeight="1" x14ac:dyDescent="0.3">
      <c r="A32" s="70"/>
      <c r="B32" s="18">
        <v>60.03</v>
      </c>
      <c r="C32" s="174" t="s">
        <v>106</v>
      </c>
      <c r="D32" s="174"/>
      <c r="E32" s="174" t="s">
        <v>102</v>
      </c>
      <c r="F32" s="174"/>
      <c r="G32" s="14" t="s">
        <v>78</v>
      </c>
      <c r="H32" s="14">
        <v>1</v>
      </c>
      <c r="I32" s="16">
        <v>2000000</v>
      </c>
      <c r="J32" s="17">
        <f>H32*I32</f>
        <v>2000000</v>
      </c>
      <c r="K32" s="65"/>
      <c r="L32" s="154" t="s">
        <v>107</v>
      </c>
      <c r="M32" s="155"/>
      <c r="N32" s="155"/>
      <c r="O32" s="155"/>
      <c r="P32" s="156">
        <f>$J$27/SUM($J$18,$J$21,$J$24,$J$27)</f>
        <v>0.15609756097560976</v>
      </c>
      <c r="Q32" s="156"/>
    </row>
    <row r="33" spans="1:17" ht="18" customHeight="1" x14ac:dyDescent="0.3">
      <c r="A33" s="70"/>
      <c r="B33" s="48" t="s">
        <v>108</v>
      </c>
      <c r="C33" s="179" t="s">
        <v>109</v>
      </c>
      <c r="D33" s="179"/>
      <c r="E33" s="179"/>
      <c r="F33" s="179"/>
      <c r="G33" s="49"/>
      <c r="H33" s="49"/>
      <c r="I33" s="50"/>
      <c r="J33" s="51">
        <f>SUM(J11,J18,J21,J24,J27,J29)</f>
        <v>98250000</v>
      </c>
      <c r="K33" s="65"/>
      <c r="L33" s="62"/>
      <c r="M33" s="63"/>
      <c r="N33" s="63"/>
      <c r="O33" s="63"/>
      <c r="P33" s="63"/>
      <c r="Q33" s="63"/>
    </row>
    <row r="34" spans="1:17" ht="20.100000000000001" customHeight="1" x14ac:dyDescent="0.3">
      <c r="A34" s="70"/>
      <c r="B34" s="40">
        <v>70</v>
      </c>
      <c r="C34" s="172" t="s">
        <v>36</v>
      </c>
      <c r="D34" s="172"/>
      <c r="E34" s="172" t="s">
        <v>110</v>
      </c>
      <c r="F34" s="172"/>
      <c r="G34" s="41"/>
      <c r="H34" s="41"/>
      <c r="I34" s="42"/>
      <c r="J34" s="43">
        <f>SUM(J35:J36)</f>
        <v>12133875</v>
      </c>
      <c r="K34" s="65"/>
      <c r="L34" s="62"/>
      <c r="M34" s="63"/>
      <c r="N34" s="63"/>
      <c r="O34" s="63"/>
      <c r="P34" s="63"/>
      <c r="Q34" s="63"/>
    </row>
    <row r="35" spans="1:17" ht="18" customHeight="1" x14ac:dyDescent="0.3">
      <c r="A35" s="70"/>
      <c r="B35" s="15">
        <v>70.010000000000005</v>
      </c>
      <c r="C35" s="176" t="s">
        <v>111</v>
      </c>
      <c r="D35" s="176"/>
      <c r="E35" s="176" t="s">
        <v>112</v>
      </c>
      <c r="F35" s="176"/>
      <c r="G35" s="14" t="s">
        <v>113</v>
      </c>
      <c r="H35" s="20">
        <v>0.05</v>
      </c>
      <c r="I35" s="16"/>
      <c r="J35" s="17">
        <f>ROUND(J33*H35,0)</f>
        <v>4912500</v>
      </c>
      <c r="K35" s="65"/>
      <c r="L35" s="146" t="s">
        <v>114</v>
      </c>
      <c r="M35" s="147"/>
      <c r="N35" s="147"/>
      <c r="O35" s="147"/>
      <c r="P35" s="147"/>
      <c r="Q35" s="147"/>
    </row>
    <row r="36" spans="1:17" ht="18" customHeight="1" x14ac:dyDescent="0.3">
      <c r="A36" s="70"/>
      <c r="B36" s="15">
        <v>70.02</v>
      </c>
      <c r="C36" s="176" t="s">
        <v>115</v>
      </c>
      <c r="D36" s="176"/>
      <c r="E36" s="176" t="s">
        <v>116</v>
      </c>
      <c r="F36" s="176"/>
      <c r="G36" s="14" t="s">
        <v>113</v>
      </c>
      <c r="H36" s="20">
        <v>7.0000000000000007E-2</v>
      </c>
      <c r="I36" s="16"/>
      <c r="J36" s="17">
        <f>ROUND((J33+J35)*H36,0)</f>
        <v>7221375</v>
      </c>
      <c r="K36" s="65"/>
      <c r="L36" s="146" t="str">
        <f>"하드웨어·인건비 비중  "&amp;TEXT(($J$11+SUM($J$18,$J$21,$J$24,$J$27))/$J$33,"0.0%")</f>
        <v>하드웨어·인건비 비중  92.9%</v>
      </c>
      <c r="M36" s="147"/>
      <c r="N36" s="147"/>
      <c r="O36" s="147"/>
      <c r="P36" s="147"/>
      <c r="Q36" s="147"/>
    </row>
    <row r="37" spans="1:17" ht="18" customHeight="1" x14ac:dyDescent="0.3">
      <c r="A37" s="70"/>
      <c r="B37" s="52" t="s">
        <v>117</v>
      </c>
      <c r="C37" s="180" t="s">
        <v>64</v>
      </c>
      <c r="D37" s="180"/>
      <c r="E37" s="180"/>
      <c r="F37" s="180"/>
      <c r="G37" s="53"/>
      <c r="H37" s="53"/>
      <c r="I37" s="54"/>
      <c r="J37" s="55">
        <f>SUM(J33,J34)</f>
        <v>110383875</v>
      </c>
      <c r="K37" s="65"/>
      <c r="L37" s="146"/>
      <c r="M37" s="147"/>
      <c r="N37" s="147"/>
      <c r="O37" s="147"/>
      <c r="P37" s="147"/>
      <c r="Q37" s="147"/>
    </row>
    <row r="38" spans="1:17" ht="18" customHeight="1" x14ac:dyDescent="0.3">
      <c r="A38" s="70"/>
      <c r="B38" s="58" t="s">
        <v>38</v>
      </c>
      <c r="C38" s="177" t="s">
        <v>39</v>
      </c>
      <c r="D38" s="177"/>
      <c r="E38" s="177" t="s">
        <v>118</v>
      </c>
      <c r="F38" s="177"/>
      <c r="G38" s="56"/>
      <c r="H38" s="56"/>
      <c r="I38" s="57"/>
      <c r="J38" s="59">
        <v>-875</v>
      </c>
      <c r="K38" s="65"/>
      <c r="L38" s="146" t="str">
        <f>"직접비  "&amp;TEXT($J$33/$J$37,"0.0%")&amp;"  |  관리·이윤  "&amp;TEXT($J$34/$J$37,"0.0%")</f>
        <v>직접비  89.0%  |  관리·이윤  11.0%</v>
      </c>
      <c r="M38" s="147"/>
      <c r="N38" s="147"/>
      <c r="O38" s="147"/>
      <c r="P38" s="147"/>
      <c r="Q38" s="147"/>
    </row>
    <row r="39" spans="1:17" ht="18" customHeight="1" x14ac:dyDescent="0.3">
      <c r="A39" s="70"/>
      <c r="B39" s="58" t="s">
        <v>41</v>
      </c>
      <c r="C39" s="177" t="s">
        <v>42</v>
      </c>
      <c r="D39" s="177"/>
      <c r="E39" s="177" t="s">
        <v>119</v>
      </c>
      <c r="F39" s="177"/>
      <c r="G39" s="56"/>
      <c r="H39" s="56"/>
      <c r="I39" s="57"/>
      <c r="J39" s="59">
        <v>-10383000</v>
      </c>
      <c r="K39" s="65"/>
      <c r="L39" s="62"/>
      <c r="M39" s="63"/>
      <c r="N39" s="63"/>
      <c r="O39" s="63"/>
      <c r="P39" s="63"/>
      <c r="Q39" s="63"/>
    </row>
    <row r="40" spans="1:17" ht="21" customHeight="1" x14ac:dyDescent="0.3">
      <c r="A40" s="70"/>
      <c r="B40" s="88" t="s">
        <v>120</v>
      </c>
      <c r="C40" s="188" t="s">
        <v>121</v>
      </c>
      <c r="D40" s="188"/>
      <c r="E40" s="188"/>
      <c r="F40" s="188"/>
      <c r="G40" s="89"/>
      <c r="H40" s="89"/>
      <c r="I40" s="90"/>
      <c r="J40" s="91">
        <f>SUM(J37:J39)</f>
        <v>100000000</v>
      </c>
      <c r="K40" s="65"/>
      <c r="L40" s="146" t="s">
        <v>122</v>
      </c>
      <c r="M40" s="147"/>
      <c r="N40" s="147"/>
      <c r="O40" s="147"/>
      <c r="P40" s="147"/>
      <c r="Q40" s="147"/>
    </row>
    <row r="41" spans="1:17" ht="18" customHeight="1" x14ac:dyDescent="0.3">
      <c r="A41" s="70"/>
      <c r="B41" s="84" t="s">
        <v>123</v>
      </c>
      <c r="C41" s="189" t="s">
        <v>47</v>
      </c>
      <c r="D41" s="189"/>
      <c r="E41" s="189"/>
      <c r="F41" s="189"/>
      <c r="G41" s="85"/>
      <c r="H41" s="85"/>
      <c r="I41" s="86"/>
      <c r="J41" s="87">
        <f>ROUND(J40*1.1,0)</f>
        <v>110000000</v>
      </c>
      <c r="K41" s="65"/>
      <c r="L41" s="9"/>
      <c r="M41" s="9"/>
      <c r="N41" s="9"/>
      <c r="O41" s="9"/>
      <c r="P41" s="9"/>
      <c r="Q41" s="9"/>
    </row>
    <row r="42" spans="1:17" x14ac:dyDescent="0.3">
      <c r="A42" s="70"/>
      <c r="B42" s="9"/>
      <c r="C42" s="9"/>
      <c r="D42" s="9"/>
      <c r="E42" s="9"/>
      <c r="F42" s="9"/>
      <c r="G42" s="9"/>
      <c r="H42" s="9"/>
      <c r="I42" s="9"/>
      <c r="J42" s="9"/>
      <c r="K42" s="65"/>
      <c r="L42" s="9"/>
      <c r="M42" s="9"/>
      <c r="N42" s="9"/>
      <c r="O42" s="9"/>
      <c r="P42" s="9"/>
      <c r="Q42" s="9"/>
    </row>
    <row r="43" spans="1:17" ht="30" customHeight="1" x14ac:dyDescent="0.3">
      <c r="A43" s="70"/>
      <c r="B43" s="187" t="s">
        <v>56</v>
      </c>
      <c r="C43" s="187"/>
      <c r="D43" s="187"/>
      <c r="E43" s="187"/>
      <c r="F43" s="187"/>
      <c r="G43" s="187"/>
      <c r="H43" s="187"/>
      <c r="I43" s="187"/>
      <c r="J43" s="187"/>
      <c r="K43" s="65"/>
      <c r="L43" s="9"/>
      <c r="M43" s="9"/>
      <c r="N43" s="9"/>
      <c r="O43" s="9"/>
      <c r="P43" s="9"/>
      <c r="Q43" s="9"/>
    </row>
    <row r="44" spans="1:17" ht="266.10000000000002" customHeight="1" x14ac:dyDescent="0.3">
      <c r="A44" s="70"/>
      <c r="B44" s="9"/>
      <c r="C44" s="9"/>
      <c r="D44" s="9"/>
      <c r="E44" s="9"/>
      <c r="F44" s="9"/>
      <c r="G44" s="9"/>
      <c r="H44" s="9"/>
      <c r="I44" s="9"/>
      <c r="J44" s="9"/>
      <c r="K44" s="65"/>
      <c r="L44" s="9"/>
      <c r="M44" s="9"/>
      <c r="N44" s="9"/>
      <c r="O44" s="9"/>
      <c r="P44" s="9"/>
      <c r="Q44" s="9"/>
    </row>
    <row r="45" spans="1:17" ht="9.9499999999999993" customHeight="1" x14ac:dyDescent="0.3">
      <c r="A45" s="72"/>
      <c r="B45" s="181" t="s">
        <v>57</v>
      </c>
      <c r="C45" s="182"/>
      <c r="D45" s="182"/>
      <c r="E45" s="182"/>
      <c r="F45" s="182"/>
      <c r="G45" s="184" t="s">
        <v>58</v>
      </c>
      <c r="H45" s="185"/>
      <c r="I45" s="185"/>
      <c r="J45" s="185"/>
      <c r="K45" s="73"/>
      <c r="L45" s="9"/>
      <c r="M45" s="9"/>
      <c r="N45" s="9"/>
      <c r="O45" s="9"/>
      <c r="P45" s="9"/>
      <c r="Q45" s="9"/>
    </row>
    <row r="46" spans="1:17" ht="14.1" customHeight="1" x14ac:dyDescent="0.3">
      <c r="A46" s="74"/>
      <c r="B46" s="183"/>
      <c r="C46" s="183"/>
      <c r="D46" s="183"/>
      <c r="E46" s="183"/>
      <c r="F46" s="183"/>
      <c r="G46" s="186"/>
      <c r="H46" s="186"/>
      <c r="I46" s="186"/>
      <c r="J46" s="186"/>
      <c r="K46" s="75"/>
      <c r="L46" s="9"/>
      <c r="M46" s="9"/>
      <c r="N46" s="9"/>
      <c r="O46" s="9"/>
      <c r="P46" s="9"/>
      <c r="Q46" s="9"/>
    </row>
    <row r="47" spans="1:17" ht="9.9499999999999993" customHeight="1" x14ac:dyDescent="0.3">
      <c r="A47" s="74"/>
      <c r="B47" s="183"/>
      <c r="C47" s="183"/>
      <c r="D47" s="183"/>
      <c r="E47" s="183"/>
      <c r="F47" s="183"/>
      <c r="G47" s="186"/>
      <c r="H47" s="186"/>
      <c r="I47" s="186"/>
      <c r="J47" s="186"/>
      <c r="K47" s="75"/>
      <c r="L47" s="9"/>
      <c r="M47" s="9"/>
      <c r="N47" s="9"/>
      <c r="O47" s="9"/>
      <c r="P47" s="9"/>
      <c r="Q47" s="9"/>
    </row>
    <row r="48" spans="1:17" x14ac:dyDescent="0.3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2:17" x14ac:dyDescent="0.3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2:17" x14ac:dyDescent="0.3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2:17" x14ac:dyDescent="0.3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 x14ac:dyDescent="0.3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x14ac:dyDescent="0.3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x14ac:dyDescent="0.3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x14ac:dyDescent="0.3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 x14ac:dyDescent="0.3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 x14ac:dyDescent="0.3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 x14ac:dyDescent="0.3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x14ac:dyDescent="0.3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x14ac:dyDescent="0.3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x14ac:dyDescent="0.3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 x14ac:dyDescent="0.3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2:17" x14ac:dyDescent="0.3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2:17" x14ac:dyDescent="0.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2:17" x14ac:dyDescent="0.3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2:17" x14ac:dyDescent="0.3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2:17" x14ac:dyDescent="0.3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2:17" x14ac:dyDescent="0.3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2:17" x14ac:dyDescent="0.3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2:17" x14ac:dyDescent="0.3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2:17" x14ac:dyDescent="0.3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2:17" x14ac:dyDescent="0.3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2:17" x14ac:dyDescent="0.3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2:17" x14ac:dyDescent="0.3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2:17" x14ac:dyDescent="0.3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2:17" x14ac:dyDescent="0.3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2:17" x14ac:dyDescent="0.3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2:17" x14ac:dyDescent="0.3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2:17" x14ac:dyDescent="0.3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2:17" x14ac:dyDescent="0.3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2:17" x14ac:dyDescent="0.3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2:17" x14ac:dyDescent="0.3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2:17" x14ac:dyDescent="0.3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2:17" x14ac:dyDescent="0.3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2:17" x14ac:dyDescent="0.3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2:17" x14ac:dyDescent="0.3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2:17" x14ac:dyDescent="0.3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2:17" x14ac:dyDescent="0.3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2:17" x14ac:dyDescent="0.3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2:17" x14ac:dyDescent="0.3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2:17" x14ac:dyDescent="0.3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2:17" x14ac:dyDescent="0.3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2:17" x14ac:dyDescent="0.3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2:17" x14ac:dyDescent="0.3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2:17" x14ac:dyDescent="0.3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2:17" x14ac:dyDescent="0.3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2:17" x14ac:dyDescent="0.3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2:17" x14ac:dyDescent="0.3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2:17" x14ac:dyDescent="0.3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2:17" x14ac:dyDescent="0.3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2:17" x14ac:dyDescent="0.3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2:17" x14ac:dyDescent="0.3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2:17" x14ac:dyDescent="0.3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2:17" x14ac:dyDescent="0.3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2:17" x14ac:dyDescent="0.3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2:17" x14ac:dyDescent="0.3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2:17" x14ac:dyDescent="0.3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2:17" x14ac:dyDescent="0.3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2:17" x14ac:dyDescent="0.3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2:17" x14ac:dyDescent="0.3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2:17" x14ac:dyDescent="0.3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2:17" x14ac:dyDescent="0.3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2:17" x14ac:dyDescent="0.3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2:17" x14ac:dyDescent="0.3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2:17" x14ac:dyDescent="0.3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2:17" x14ac:dyDescent="0.3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2:17" x14ac:dyDescent="0.3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2:17" x14ac:dyDescent="0.3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2:17" x14ac:dyDescent="0.3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2:17" x14ac:dyDescent="0.3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2:17" x14ac:dyDescent="0.3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2:17" x14ac:dyDescent="0.3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2:17" x14ac:dyDescent="0.3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2:17" x14ac:dyDescent="0.3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2:17" x14ac:dyDescent="0.3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2:17" x14ac:dyDescent="0.3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2:17" x14ac:dyDescent="0.3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2:17" x14ac:dyDescent="0.3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2:17" x14ac:dyDescent="0.3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2:17" x14ac:dyDescent="0.3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2:17" x14ac:dyDescent="0.3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</sheetData>
  <mergeCells count="102">
    <mergeCell ref="B45:F47"/>
    <mergeCell ref="G45:J47"/>
    <mergeCell ref="B43:J43"/>
    <mergeCell ref="C39:D39"/>
    <mergeCell ref="E39:F39"/>
    <mergeCell ref="C40:D40"/>
    <mergeCell ref="E40:F40"/>
    <mergeCell ref="C41:D41"/>
    <mergeCell ref="E41:F41"/>
    <mergeCell ref="C38:D38"/>
    <mergeCell ref="E38:F38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26:D26"/>
    <mergeCell ref="E26:F26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L12:O12"/>
    <mergeCell ref="P12:Q12"/>
    <mergeCell ref="L14:Q14"/>
    <mergeCell ref="C18:D18"/>
    <mergeCell ref="E18:F18"/>
    <mergeCell ref="L16:M16"/>
    <mergeCell ref="N16:P16"/>
    <mergeCell ref="C12:D12"/>
    <mergeCell ref="E12:F12"/>
    <mergeCell ref="C13:D13"/>
    <mergeCell ref="E13:F13"/>
    <mergeCell ref="C14:D14"/>
    <mergeCell ref="E14:F14"/>
    <mergeCell ref="C10:D10"/>
    <mergeCell ref="E10:F10"/>
    <mergeCell ref="L5:Q5"/>
    <mergeCell ref="L6:Q7"/>
    <mergeCell ref="L8:N8"/>
    <mergeCell ref="O8:Q8"/>
    <mergeCell ref="L9:N11"/>
    <mergeCell ref="O9:Q11"/>
    <mergeCell ref="B5:F5"/>
    <mergeCell ref="B6:F6"/>
    <mergeCell ref="G5:J5"/>
    <mergeCell ref="G6:J6"/>
    <mergeCell ref="B8:F8"/>
    <mergeCell ref="G8:J8"/>
    <mergeCell ref="C11:D11"/>
    <mergeCell ref="E11:F11"/>
    <mergeCell ref="L40:Q40"/>
    <mergeCell ref="L30:O30"/>
    <mergeCell ref="P30:Q30"/>
    <mergeCell ref="L31:O31"/>
    <mergeCell ref="P31:Q31"/>
    <mergeCell ref="L32:O32"/>
    <mergeCell ref="P32:Q32"/>
    <mergeCell ref="L35:Q35"/>
    <mergeCell ref="L36:Q37"/>
    <mergeCell ref="N19:P19"/>
    <mergeCell ref="L22:M22"/>
    <mergeCell ref="N22:P22"/>
    <mergeCell ref="L24:Q24"/>
    <mergeCell ref="L38:Q38"/>
    <mergeCell ref="L27:Q27"/>
    <mergeCell ref="L29:O29"/>
    <mergeCell ref="P29:Q29"/>
    <mergeCell ref="L19:M19"/>
  </mergeCells>
  <phoneticPr fontId="17" type="noConversion"/>
  <pageMargins left="0" right="0" top="0" bottom="0" header="0" footer="0"/>
  <pageSetup paperSize="9"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5"/>
  <sheetViews>
    <sheetView showGridLines="0" workbookViewId="0"/>
  </sheetViews>
  <sheetFormatPr defaultRowHeight="16.5" x14ac:dyDescent="0.3"/>
  <cols>
    <col min="1" max="1" width="3" customWidth="1"/>
    <col min="2" max="2" width="10" customWidth="1"/>
    <col min="3" max="3" width="14" customWidth="1"/>
    <col min="4" max="4" width="18" customWidth="1"/>
    <col min="5" max="5" width="27" customWidth="1"/>
    <col min="6" max="6" width="20" customWidth="1"/>
    <col min="7" max="7" width="14" customWidth="1"/>
    <col min="8" max="8" width="3" customWidth="1"/>
  </cols>
  <sheetData>
    <row r="1" spans="1:8" ht="8.1" customHeight="1" x14ac:dyDescent="0.3">
      <c r="A1" s="21"/>
      <c r="B1" s="21"/>
      <c r="C1" s="21"/>
      <c r="D1" s="21"/>
      <c r="E1" s="21"/>
      <c r="F1" s="21"/>
      <c r="G1" s="21"/>
      <c r="H1" s="21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3" spans="1:8" x14ac:dyDescent="0.3">
      <c r="A3" s="8"/>
      <c r="B3" s="190" t="s">
        <v>124</v>
      </c>
      <c r="C3" s="190"/>
      <c r="D3" s="190"/>
      <c r="E3" s="190"/>
      <c r="F3" s="190"/>
      <c r="G3" s="190"/>
      <c r="H3" s="8"/>
    </row>
    <row r="4" spans="1:8" x14ac:dyDescent="0.3">
      <c r="A4" s="8"/>
      <c r="B4" s="190"/>
      <c r="C4" s="190"/>
      <c r="D4" s="190"/>
      <c r="E4" s="190"/>
      <c r="F4" s="190"/>
      <c r="G4" s="190"/>
      <c r="H4" s="8"/>
    </row>
    <row r="5" spans="1:8" x14ac:dyDescent="0.3">
      <c r="A5" s="8"/>
      <c r="B5" s="191" t="s">
        <v>125</v>
      </c>
      <c r="C5" s="191"/>
      <c r="D5" s="191"/>
      <c r="E5" s="191"/>
      <c r="F5" s="191"/>
      <c r="G5" s="191"/>
      <c r="H5" s="8"/>
    </row>
    <row r="6" spans="1:8" x14ac:dyDescent="0.3">
      <c r="A6" s="8"/>
      <c r="B6" s="8"/>
      <c r="C6" s="8"/>
      <c r="D6" s="8"/>
      <c r="E6" s="8"/>
      <c r="F6" s="8"/>
      <c r="G6" s="8"/>
      <c r="H6" s="8"/>
    </row>
    <row r="7" spans="1:8" x14ac:dyDescent="0.3">
      <c r="A7" s="8"/>
      <c r="B7" s="22" t="s">
        <v>126</v>
      </c>
      <c r="C7" s="22" t="s">
        <v>2</v>
      </c>
      <c r="D7" s="22" t="s">
        <v>69</v>
      </c>
      <c r="E7" s="22" t="s">
        <v>127</v>
      </c>
      <c r="F7" s="22" t="s">
        <v>128</v>
      </c>
      <c r="G7" s="22" t="s">
        <v>129</v>
      </c>
      <c r="H7" s="8"/>
    </row>
    <row r="8" spans="1:8" x14ac:dyDescent="0.3">
      <c r="A8" s="8"/>
      <c r="B8" s="8"/>
      <c r="C8" s="8"/>
      <c r="D8" s="8"/>
      <c r="E8" s="8"/>
      <c r="F8" s="8"/>
      <c r="G8" s="8"/>
      <c r="H8" s="8"/>
    </row>
    <row r="9" spans="1:8" ht="24" customHeight="1" x14ac:dyDescent="0.3">
      <c r="A9" s="8"/>
      <c r="B9" s="23" t="s">
        <v>130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8"/>
    </row>
    <row r="10" spans="1:8" ht="26.1" customHeight="1" x14ac:dyDescent="0.3">
      <c r="A10" s="8"/>
      <c r="B10" s="33" t="s">
        <v>136</v>
      </c>
      <c r="C10" s="24">
        <v>35</v>
      </c>
      <c r="D10" s="25">
        <v>350000</v>
      </c>
      <c r="E10" s="26" t="s">
        <v>137</v>
      </c>
      <c r="F10" s="26" t="s">
        <v>138</v>
      </c>
      <c r="G10" s="26" t="s">
        <v>139</v>
      </c>
      <c r="H10" s="8"/>
    </row>
    <row r="11" spans="1:8" ht="26.1" customHeight="1" x14ac:dyDescent="0.3">
      <c r="A11" s="8"/>
      <c r="B11" s="34" t="s">
        <v>140</v>
      </c>
      <c r="C11" s="27">
        <v>40</v>
      </c>
      <c r="D11" s="28">
        <v>400000</v>
      </c>
      <c r="E11" s="29" t="s">
        <v>141</v>
      </c>
      <c r="F11" s="29" t="s">
        <v>142</v>
      </c>
      <c r="G11" s="29" t="s">
        <v>139</v>
      </c>
      <c r="H11" s="8"/>
    </row>
    <row r="12" spans="1:8" ht="26.1" customHeight="1" x14ac:dyDescent="0.3">
      <c r="A12" s="8"/>
      <c r="B12" s="35" t="s">
        <v>143</v>
      </c>
      <c r="C12" s="30">
        <v>45</v>
      </c>
      <c r="D12" s="31">
        <v>450000</v>
      </c>
      <c r="E12" s="32" t="s">
        <v>144</v>
      </c>
      <c r="F12" s="32" t="s">
        <v>145</v>
      </c>
      <c r="G12" s="32" t="s">
        <v>139</v>
      </c>
      <c r="H12" s="8"/>
    </row>
    <row r="13" spans="1:8" x14ac:dyDescent="0.3">
      <c r="A13" s="8"/>
      <c r="B13" s="8"/>
      <c r="C13" s="8"/>
      <c r="D13" s="8"/>
      <c r="E13" s="8"/>
      <c r="F13" s="8"/>
      <c r="G13" s="8"/>
      <c r="H13" s="8"/>
    </row>
    <row r="14" spans="1:8" x14ac:dyDescent="0.3">
      <c r="A14" s="8"/>
      <c r="B14" s="8"/>
      <c r="C14" s="8"/>
      <c r="D14" s="8"/>
      <c r="E14" s="8"/>
      <c r="F14" s="8"/>
      <c r="G14" s="8"/>
      <c r="H14" s="8"/>
    </row>
    <row r="15" spans="1:8" x14ac:dyDescent="0.3">
      <c r="A15" s="8"/>
      <c r="B15" s="192" t="s">
        <v>146</v>
      </c>
      <c r="C15" s="193"/>
      <c r="D15" s="193"/>
      <c r="E15" s="193"/>
      <c r="F15" s="193"/>
      <c r="G15" s="194"/>
      <c r="H15" s="8"/>
    </row>
    <row r="16" spans="1:8" x14ac:dyDescent="0.3">
      <c r="A16" s="8"/>
      <c r="B16" s="195"/>
      <c r="C16" s="196"/>
      <c r="D16" s="196"/>
      <c r="E16" s="196"/>
      <c r="F16" s="196"/>
      <c r="G16" s="197"/>
      <c r="H16" s="8"/>
    </row>
    <row r="17" spans="1:8" x14ac:dyDescent="0.3">
      <c r="A17" s="8"/>
      <c r="B17" s="198"/>
      <c r="C17" s="199"/>
      <c r="D17" s="199"/>
      <c r="E17" s="199"/>
      <c r="F17" s="199"/>
      <c r="G17" s="200"/>
      <c r="H17" s="8"/>
    </row>
    <row r="18" spans="1:8" x14ac:dyDescent="0.3">
      <c r="A18" s="8"/>
      <c r="B18" s="8"/>
      <c r="C18" s="8"/>
      <c r="D18" s="8"/>
      <c r="E18" s="8"/>
      <c r="F18" s="8"/>
      <c r="G18" s="8"/>
      <c r="H18" s="8"/>
    </row>
    <row r="19" spans="1:8" x14ac:dyDescent="0.3">
      <c r="A19" s="8"/>
      <c r="B19" s="8"/>
      <c r="C19" s="8"/>
      <c r="D19" s="8"/>
      <c r="E19" s="8"/>
      <c r="F19" s="8"/>
      <c r="G19" s="8"/>
      <c r="H19" s="8"/>
    </row>
    <row r="20" spans="1:8" x14ac:dyDescent="0.3">
      <c r="A20" s="8"/>
      <c r="B20" s="8"/>
      <c r="C20" s="8"/>
      <c r="D20" s="8"/>
      <c r="E20" s="8"/>
      <c r="F20" s="8"/>
      <c r="G20" s="8"/>
      <c r="H20" s="8"/>
    </row>
    <row r="21" spans="1:8" x14ac:dyDescent="0.3">
      <c r="A21" s="8"/>
      <c r="B21" s="8"/>
      <c r="C21" s="8"/>
      <c r="D21" s="8"/>
      <c r="E21" s="8"/>
      <c r="F21" s="8"/>
      <c r="G21" s="8"/>
      <c r="H21" s="8"/>
    </row>
    <row r="22" spans="1:8" x14ac:dyDescent="0.3">
      <c r="A22" s="8"/>
      <c r="B22" s="8"/>
      <c r="C22" s="8"/>
      <c r="D22" s="8"/>
      <c r="E22" s="8"/>
      <c r="F22" s="8"/>
      <c r="G22" s="8"/>
      <c r="H22" s="8"/>
    </row>
    <row r="23" spans="1:8" x14ac:dyDescent="0.3">
      <c r="A23" s="8"/>
      <c r="B23" s="201" t="s">
        <v>147</v>
      </c>
      <c r="C23" s="201"/>
      <c r="D23" s="201"/>
      <c r="E23" s="203" t="s">
        <v>148</v>
      </c>
      <c r="F23" s="203"/>
      <c r="G23" s="203"/>
      <c r="H23" s="8"/>
    </row>
    <row r="24" spans="1:8" x14ac:dyDescent="0.3">
      <c r="A24" s="8"/>
      <c r="B24" s="202"/>
      <c r="C24" s="202"/>
      <c r="D24" s="202"/>
      <c r="E24" s="204"/>
      <c r="F24" s="204"/>
      <c r="G24" s="204"/>
      <c r="H24" s="8"/>
    </row>
    <row r="25" spans="1:8" x14ac:dyDescent="0.3">
      <c r="A25" s="8"/>
      <c r="B25" s="202"/>
      <c r="C25" s="202"/>
      <c r="D25" s="202"/>
      <c r="E25" s="204"/>
      <c r="F25" s="204"/>
      <c r="G25" s="204"/>
      <c r="H25" s="8"/>
    </row>
  </sheetData>
  <mergeCells count="5">
    <mergeCell ref="B3:G4"/>
    <mergeCell ref="B5:G5"/>
    <mergeCell ref="B15:G17"/>
    <mergeCell ref="B23:D25"/>
    <mergeCell ref="E23:G25"/>
  </mergeCells>
  <phoneticPr fontId="17" type="noConversion"/>
  <printOptions horizontalCentered="1"/>
  <pageMargins left="0" right="0" top="0" bottom="0" header="0" footer="0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1. 견적서</vt:lpstr>
      <vt:lpstr>2. 상세견적</vt:lpstr>
      <vt:lpstr>3. 인건비 기준</vt:lpstr>
      <vt:lpstr>'1. 견적서'!Print_Area</vt:lpstr>
      <vt:lpstr>'2. 상세견적'!Print_Area</vt:lpstr>
      <vt:lpstr>'3. 인건비 기준'!Print_Area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국형주</cp:lastModifiedBy>
  <dcterms:modified xsi:type="dcterms:W3CDTF">2026-07-23T03:25:45Z</dcterms:modified>
</cp:coreProperties>
</file>